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Data for dashboard" sheetId="2" r:id="rId5"/>
    <sheet state="visible" name="Data Sheet" sheetId="3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/>
  <extLst>
    <ext uri="GoogleSheetsCustomDataVersion2">
      <go:sheetsCustomData xmlns:go="http://customooxmlschemas.google.com/" r:id="rId7" roundtripDataChecksum="4IprBLC7BXQ9GYAbhUYYI0dfkSBI6tswI/VBEoHgau0="/>
    </ext>
  </extLst>
</workbook>
</file>

<file path=xl/sharedStrings.xml><?xml version="1.0" encoding="utf-8"?>
<sst xmlns="http://schemas.openxmlformats.org/spreadsheetml/2006/main" count="149" uniqueCount="84">
  <si>
    <t xml:space="preserve">Sustainability Dashboard  </t>
  </si>
  <si>
    <t>Energy Consumption in kWh (by source)   April to July 2025</t>
  </si>
  <si>
    <t>Waste recovered through recycling, and re-using (in kgs)   April to August 2025</t>
  </si>
  <si>
    <t>SPJIMR Environmental Metrics</t>
  </si>
  <si>
    <t>Particular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</si>
  <si>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</si>
  <si>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</si>
  <si>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</si>
  <si>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</si>
  <si>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</si>
  <si>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</si>
  <si>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</si>
  <si>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</si>
  <si>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</si>
  <si>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</si>
  <si>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</si>
  <si>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</si>
  <si>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Total</t>
  </si>
  <si>
    <t>%</t>
  </si>
  <si>
    <t>Energy Consumption in kWh (by source)</t>
  </si>
  <si>
    <t>Renewable Sources - Solar</t>
  </si>
  <si>
    <t>Renewable Sources - Adani</t>
  </si>
  <si>
    <t>Non-Renewable Sources</t>
  </si>
  <si>
    <t>Total Energy Consumed (in kWh)</t>
  </si>
  <si>
    <t>Energy Mix (Renewable as %age of Total)</t>
  </si>
  <si>
    <t>Water Consumption (by source in Kilo Ltrs)</t>
  </si>
  <si>
    <t>Municipal Corporation</t>
  </si>
  <si>
    <t>Tanker</t>
  </si>
  <si>
    <t>Rainwater Harvesting</t>
  </si>
  <si>
    <t>Total Water Consumed (in kiloliters)</t>
  </si>
  <si>
    <t>Waste recovered through recycling, and re-using (in kgs)</t>
  </si>
  <si>
    <t>Waste recovered</t>
  </si>
  <si>
    <t>waste disposed off</t>
  </si>
  <si>
    <t>Total waste</t>
  </si>
  <si>
    <t xml:space="preserve">% Waste Recovered  </t>
  </si>
  <si>
    <t>ESG Dashboard Draft Template</t>
  </si>
  <si>
    <t>Data Owner</t>
  </si>
  <si>
    <t>Jayesh</t>
  </si>
  <si>
    <t>From Renewable Sources</t>
  </si>
  <si>
    <t>Solar (LH)</t>
  </si>
  <si>
    <t>Adani Green</t>
  </si>
  <si>
    <t>From Non-Renewable Sources</t>
  </si>
  <si>
    <t>Adani</t>
  </si>
  <si>
    <t>Diesel Generators' Output</t>
  </si>
  <si>
    <t>From Municipal Corporation</t>
  </si>
  <si>
    <t>From Tanker</t>
  </si>
  <si>
    <t>From Rainwater Harvesting</t>
  </si>
  <si>
    <t>% of water consumed from renewable sources</t>
  </si>
  <si>
    <t>Waste Generation by Type (kgs)</t>
  </si>
  <si>
    <t>Noorin</t>
  </si>
  <si>
    <t xml:space="preserve">Wet Waste (A) </t>
  </si>
  <si>
    <t>Dry Waste (B)</t>
  </si>
  <si>
    <t xml:space="preserve">Sanitary Waste (C) </t>
  </si>
  <si>
    <t xml:space="preserve">E-waste Generated (D) </t>
  </si>
  <si>
    <t>Personal Belongings (E)</t>
  </si>
  <si>
    <t>Reject Waste (F)</t>
  </si>
  <si>
    <t>Total Waste Generated (in kgs)</t>
  </si>
  <si>
    <t>Total waste recovered through recycling, re-using or other recovery operations (in kgs)</t>
  </si>
  <si>
    <t>(i) Recycled Wet Waste</t>
  </si>
  <si>
    <t>(ii) Recycled Dry Waste</t>
  </si>
  <si>
    <t>(iii) Recycled E-waste</t>
  </si>
  <si>
    <t>(iv) Recycled Sanitary Waste</t>
  </si>
  <si>
    <t>(v) Sent for Re-use</t>
  </si>
  <si>
    <t>Total Waste Recovered (in kgs)</t>
  </si>
  <si>
    <t>Waste Recovered as % to total waste</t>
  </si>
  <si>
    <t>Compost generated (In Kgs)</t>
  </si>
  <si>
    <t>Total waste disposed off and nature of disposal method (in kgs)</t>
  </si>
  <si>
    <t>(Mention category of waste)</t>
  </si>
  <si>
    <t>(i) BMC</t>
  </si>
  <si>
    <t>Total (in kgs.)</t>
  </si>
  <si>
    <t>Campus-wide Sustainability Initiatives</t>
  </si>
  <si>
    <t>Total Number of Environmental Awareness Programs / Campaigns</t>
  </si>
  <si>
    <t>SD goals allign with research publications</t>
  </si>
  <si>
    <t>SDG 1</t>
  </si>
  <si>
    <t>SDG 2</t>
  </si>
  <si>
    <t>SDG 3</t>
  </si>
  <si>
    <t>SDG 4</t>
  </si>
  <si>
    <t>SDG 5</t>
  </si>
  <si>
    <t>SDG 8</t>
  </si>
  <si>
    <t>SDG 9</t>
  </si>
  <si>
    <t>SDG 11</t>
  </si>
  <si>
    <t>SDG 12</t>
  </si>
  <si>
    <t>SDG 17</t>
  </si>
  <si>
    <t xml:space="preserve">Total Number of SDG's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</si>
</sst>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\(#,##0\)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u/>
      <sz val="18.0"/>
      <color theme="1"/>
      <name val="Calibri"/>
    </font>
    <font>
      <b/>
      <u/>
      <sz val="14.0"/>
      <color theme="1"/>
      <name val="Calibri"/>
    </font>
    <font>
      <b/>
      <sz val="16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93C47D"/>
        <bgColor rgb="FF93C47D"/>
      </patternFill>
    </fill>
    <fill>
      <patternFill patternType="solid">
        <fgColor rgb="FFA5A5A5"/>
        <bgColor rgb="FFA5A5A5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99999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1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4" fontId="6" numFmtId="0" xfId="0" applyAlignment="1" applyBorder="1" applyFill="1" applyFont="1">
      <alignment horizontal="left"/>
    </xf>
    <xf borderId="0" fillId="0" fontId="7" numFmtId="0" xfId="0" applyFont="1"/>
    <xf borderId="0" fillId="0" fontId="6" numFmtId="0" xfId="0" applyFont="1"/>
    <xf borderId="5" fillId="3" fontId="6" numFmtId="0" xfId="0" applyBorder="1" applyFont="1"/>
    <xf borderId="6" fillId="0" fontId="1" numFmtId="0" xfId="0" applyBorder="1" applyFont="1"/>
    <xf borderId="0" fillId="0" fontId="1" numFmtId="3" xfId="0" applyFont="1" applyNumberFormat="1"/>
    <xf borderId="0" fillId="0" fontId="1" numFmtId="9" xfId="0" applyFont="1" applyNumberFormat="1"/>
    <xf borderId="1" fillId="3" fontId="6" numFmtId="0" xfId="0" applyBorder="1" applyFont="1"/>
    <xf borderId="7" fillId="0" fontId="6" numFmtId="0" xfId="0" applyBorder="1" applyFont="1"/>
    <xf borderId="7" fillId="0" fontId="6" numFmtId="10" xfId="0" applyBorder="1" applyFont="1" applyNumberFormat="1"/>
    <xf borderId="8" fillId="0" fontId="6" numFmtId="0" xfId="0" applyBorder="1" applyFont="1"/>
    <xf borderId="9" fillId="0" fontId="1" numFmtId="3" xfId="0" applyBorder="1" applyFont="1" applyNumberFormat="1"/>
    <xf borderId="10" fillId="0" fontId="1" numFmtId="9" xfId="0" applyBorder="1" applyFont="1" applyNumberFormat="1"/>
    <xf borderId="0" fillId="0" fontId="7" numFmtId="164" xfId="0" applyFont="1" applyNumberFormat="1"/>
    <xf borderId="8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horizontal="left"/>
    </xf>
    <xf borderId="1" fillId="5" fontId="1" numFmtId="0" xfId="0" applyBorder="1" applyFont="1"/>
    <xf borderId="0" fillId="0" fontId="6" numFmtId="0" xfId="0" applyAlignment="1" applyFont="1">
      <alignment horizontal="center"/>
    </xf>
    <xf borderId="1" fillId="4" fontId="6" numFmtId="0" xfId="0" applyBorder="1" applyFont="1"/>
    <xf borderId="0" fillId="0" fontId="1" numFmtId="0" xfId="0" applyAlignment="1" applyFont="1">
      <alignment horizontal="center"/>
    </xf>
    <xf borderId="6" fillId="0" fontId="1" numFmtId="3" xfId="0" applyBorder="1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/>
    </xf>
    <xf borderId="11" fillId="0" fontId="1" numFmtId="3" xfId="0" applyBorder="1" applyFont="1" applyNumberFormat="1"/>
    <xf borderId="0" fillId="0" fontId="1" numFmtId="3" xfId="0" applyAlignment="1" applyFont="1" applyNumberFormat="1">
      <alignment vertical="bottom"/>
    </xf>
    <xf borderId="11" fillId="0" fontId="1" numFmtId="3" xfId="0" applyAlignment="1" applyBorder="1" applyFont="1" applyNumberFormat="1">
      <alignment horizontal="right" vertical="bottom"/>
    </xf>
    <xf borderId="7" fillId="0" fontId="1" numFmtId="0" xfId="0" applyBorder="1" applyFont="1"/>
    <xf borderId="7" fillId="0" fontId="6" numFmtId="3" xfId="0" applyBorder="1" applyFont="1" applyNumberFormat="1"/>
    <xf borderId="0" fillId="0" fontId="1" numFmtId="10" xfId="0" applyFont="1" applyNumberFormat="1"/>
    <xf borderId="0" fillId="0" fontId="8" numFmtId="3" xfId="0" applyFont="1" applyNumberFormat="1"/>
    <xf borderId="0" fillId="0" fontId="1" numFmtId="3" xfId="0" applyAlignment="1" applyFont="1" applyNumberFormat="1">
      <alignment horizontal="right" readingOrder="0"/>
    </xf>
    <xf borderId="7" fillId="0" fontId="6" numFmtId="3" xfId="0" applyAlignment="1" applyBorder="1" applyFont="1" applyNumberFormat="1">
      <alignment horizontal="right"/>
    </xf>
    <xf borderId="5" fillId="3" fontId="6" numFmtId="0" xfId="0" applyAlignment="1" applyBorder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7" fillId="0" fontId="6" numFmtId="164" xfId="0" applyBorder="1" applyFont="1" applyNumberFormat="1"/>
    <xf borderId="7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427370953630796"/>
          <c:y val="0.14333041703120444"/>
          <c:w val="0.4782534995625547"/>
          <c:h val="0.7970891659375912"/>
        </c:manualLayout>
      </c:layout>
      <c:pieChart>
        <c:varyColors val="1"/>
        <c:ser>
          <c:idx val="0"/>
          <c:order val="0"/>
          <c:tx>
            <c:strRef>
              <c:f>'Data for dashboard'!$P$1</c:f>
            </c:strRef>
          </c:tx>
          <c:dPt>
            <c:idx val="0"/>
            <c:explosion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92D050"/>
              </a:solidFill>
            </c:spPr>
          </c:dPt>
          <c:dPt>
            <c:idx val="2"/>
            <c:spPr>
              <a:solidFill>
                <a:schemeClr val="accent4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10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1000">
                        <a:solidFill>
                          <a:srgbClr val="000000"/>
                        </a:solidFill>
                        <a:latin typeface="+mn-lt"/>
                      </a:rPr>
                      <a:t> Kwh[PERCENTAGE]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for dashboard'!$C$2:$C$4</c:f>
            </c:strRef>
          </c:cat>
          <c:val>
            <c:numRef>
              <c:f>'Data for dashboard'!$P$2:$P$4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972003499562554"/>
          <c:y val="0.05092592592592592"/>
          <c:w val="0.7731572615923009"/>
          <c:h val="0.6518576844561097"/>
        </c:manualLayout>
      </c:layout>
      <c:barChart>
        <c:barDir val="col"/>
        <c:grouping val="stacked"/>
        <c:ser>
          <c:idx val="0"/>
          <c:order val="0"/>
          <c:tx>
            <c:v>Total Energy Consumed (in kWh)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dashboard'!$D$1:$I$1</c:f>
            </c:strRef>
          </c:cat>
          <c:val>
            <c:numRef>
              <c:f>'Data for dashboard'!$D$5:$I$5</c:f>
              <c:numCache/>
            </c:numRef>
          </c:val>
        </c:ser>
        <c:overlap val="100"/>
        <c:axId val="2024284082"/>
        <c:axId val="53253279"/>
      </c:barChart>
      <c:lineChart>
        <c:varyColors val="0"/>
        <c:ser>
          <c:idx val="1"/>
          <c:order val="1"/>
          <c:tx>
            <c:v>Energy Mix (Renewable as %age of Total)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 lvl="0">
                  <a:defRPr b="1" i="0" sz="900">
                    <a:solidFill>
                      <a:srgbClr val="0070C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dashboard'!$D$1:$I$1</c:f>
            </c:strRef>
          </c:cat>
          <c:val>
            <c:numRef>
              <c:f>'Data for dashboard'!$D$6:$I$6</c:f>
              <c:numCache/>
            </c:numRef>
          </c:val>
          <c:smooth val="0"/>
        </c:ser>
        <c:axId val="2024284082"/>
        <c:axId val="53253279"/>
      </c:lineChart>
      <c:catAx>
        <c:axId val="2024284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4620973170860845"/>
              <c:y val="0.787034849810440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chemeClr val="accent1"/>
                </a:solidFill>
                <a:latin typeface="+mn-lt"/>
              </a:defRPr>
            </a:pPr>
          </a:p>
        </c:txPr>
        <c:crossAx val="53253279"/>
      </c:catAx>
      <c:valAx>
        <c:axId val="53253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Units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4284082"/>
        <c:majorUnit val="50000.0"/>
      </c:valAx>
    </c:plotArea>
    <c:legend>
      <c:legendPos val="b"/>
      <c:layout>
        <c:manualLayout>
          <c:xMode val="edge"/>
          <c:yMode val="edge"/>
          <c:x val="0.0"/>
          <c:y val="0.865738553514144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Water Consumption ( in kilo ltrs)</a:t>
            </a:r>
          </a:p>
        </c:rich>
      </c:tx>
      <c:overlay val="0"/>
    </c:title>
    <c:plotArea>
      <c:layout>
        <c:manualLayout>
          <c:xMode val="edge"/>
          <c:yMode val="edge"/>
          <c:x val="0.4538482064741907"/>
          <c:y val="0.19888597258676"/>
          <c:w val="0.44492016622922137"/>
          <c:h val="0.7415336103820356"/>
        </c:manualLayout>
      </c:layout>
      <c:pieChart>
        <c:varyColors val="1"/>
        <c:ser>
          <c:idx val="0"/>
          <c:order val="0"/>
          <c:tx>
            <c:strRef>
              <c:f>'Data for dashboard'!$P$10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1" i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1" i="0" sz="900">
                        <a:solidFill>
                          <a:srgbClr val="000000"/>
                        </a:solidFill>
                        <a:latin typeface="+mn-lt"/>
                      </a:rPr>
                      <a:t> K Ltrs[PERCENTAGE]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900"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for dashboard'!$C$11:$C$13</c:f>
            </c:strRef>
          </c:cat>
          <c:val>
            <c:numRef>
              <c:f>'Data for dashboard'!$P$11:$P$13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Municipal Corporation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dashboard'!$D$10:$I$10</c:f>
            </c:strRef>
          </c:cat>
          <c:val>
            <c:numRef>
              <c:f>'Data for dashboard'!$D$11:$I$11</c:f>
              <c:numCache/>
            </c:numRef>
          </c:val>
        </c:ser>
        <c:ser>
          <c:idx val="1"/>
          <c:order val="1"/>
          <c:tx>
            <c:v>Tanker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dashboard'!$D$10:$I$10</c:f>
            </c:strRef>
          </c:cat>
          <c:val>
            <c:numRef>
              <c:f>'Data for dashboard'!$D$12:$I$12</c:f>
              <c:numCache/>
            </c:numRef>
          </c:val>
        </c:ser>
        <c:overlap val="100"/>
        <c:axId val="1501380780"/>
        <c:axId val="541475589"/>
      </c:barChart>
      <c:catAx>
        <c:axId val="1501380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1475589"/>
      </c:catAx>
      <c:valAx>
        <c:axId val="54147558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138078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4170001071294659"/>
          <c:y val="0.10956658378229035"/>
          <c:w val="0.5271198243076758"/>
          <c:h val="0.8156485702445089"/>
        </c:manualLayout>
      </c:layout>
      <c:pieChart>
        <c:varyColors val="1"/>
        <c:ser>
          <c:idx val="0"/>
          <c:order val="0"/>
          <c:tx>
            <c:strRef>
              <c:f>'Data for dashboard'!$P$16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for dashboard'!$C$17:$C$18</c:f>
            </c:strRef>
          </c:cat>
          <c:val>
            <c:numRef>
              <c:f>'Data for dashboard'!$P$17:$P$18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972003499562554"/>
          <c:y val="0.05092592592592592"/>
          <c:w val="0.7731572615923009"/>
          <c:h val="0.6518576844561097"/>
        </c:manualLayout>
      </c:layout>
      <c:barChart>
        <c:barDir val="col"/>
        <c:grouping val="stacked"/>
        <c:ser>
          <c:idx val="0"/>
          <c:order val="0"/>
          <c:tx>
            <c:v>Totaol waste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dashboard'!$D$16:$J$16</c:f>
            </c:strRef>
          </c:cat>
          <c:val>
            <c:numRef>
              <c:f>'Data for dashboard'!$D$19:$J$19</c:f>
              <c:numCache/>
            </c:numRef>
          </c:val>
        </c:ser>
        <c:overlap val="100"/>
        <c:axId val="837303696"/>
        <c:axId val="2023215701"/>
      </c:barChart>
      <c:lineChart>
        <c:varyColors val="0"/>
        <c:ser>
          <c:idx val="1"/>
          <c:order val="1"/>
          <c:tx>
            <c:v>% Waste Recovered  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 lvl="0">
                  <a:defRPr b="1" i="0" sz="1000">
                    <a:solidFill>
                      <a:srgbClr val="0070C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'Data for dashboard'!$D$16:$J$16</c:f>
            </c:strRef>
          </c:cat>
          <c:val>
            <c:numRef>
              <c:f>'Data for dashboard'!$D$20:$J$20</c:f>
              <c:numCache/>
            </c:numRef>
          </c:val>
          <c:smooth val="0"/>
        </c:ser>
        <c:axId val="837303696"/>
        <c:axId val="2023215701"/>
      </c:lineChart>
      <c:catAx>
        <c:axId val="83730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4620973170860845"/>
              <c:y val="0.7870348498104404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000">
                <a:solidFill>
                  <a:schemeClr val="accent1"/>
                </a:solidFill>
                <a:latin typeface="+mn-lt"/>
              </a:defRPr>
            </a:pPr>
          </a:p>
        </c:txPr>
        <c:crossAx val="2023215701"/>
      </c:catAx>
      <c:valAx>
        <c:axId val="20232157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KGS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7303696"/>
      </c:valAx>
    </c:plotArea>
    <c:legend>
      <c:legendPos val="b"/>
      <c:layout>
        <c:manualLayout>
          <c:xMode val="edge"/>
          <c:yMode val="edge"/>
          <c:x val="0.0"/>
          <c:y val="0.861083007082215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4</xdr:row>
      <xdr:rowOff>0</xdr:rowOff>
    </xdr:from>
    <xdr:ext cx="4438650" cy="2714625"/>
    <xdr:graphicFrame>
      <xdr:nvGraphicFramePr>
        <xdr:cNvPr id="4003200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</xdr:colOff>
      <xdr:row>4</xdr:row>
      <xdr:rowOff>0</xdr:rowOff>
    </xdr:from>
    <xdr:ext cx="5133975" cy="2705100"/>
    <xdr:graphicFrame>
      <xdr:nvGraphicFramePr>
        <xdr:cNvPr id="156028296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161925</xdr:colOff>
      <xdr:row>41</xdr:row>
      <xdr:rowOff>57150</xdr:rowOff>
    </xdr:from>
    <xdr:ext cx="4438650" cy="2714625"/>
    <xdr:graphicFrame>
      <xdr:nvGraphicFramePr>
        <xdr:cNvPr id="2035351128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142875</xdr:colOff>
      <xdr:row>41</xdr:row>
      <xdr:rowOff>47625</xdr:rowOff>
    </xdr:from>
    <xdr:ext cx="4876800" cy="2752725"/>
    <xdr:graphicFrame>
      <xdr:nvGraphicFramePr>
        <xdr:cNvPr id="589044510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190500</xdr:colOff>
      <xdr:row>22</xdr:row>
      <xdr:rowOff>28575</xdr:rowOff>
    </xdr:from>
    <xdr:ext cx="4343400" cy="2743200"/>
    <xdr:graphicFrame>
      <xdr:nvGraphicFramePr>
        <xdr:cNvPr id="617918659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28575</xdr:rowOff>
    </xdr:from>
    <xdr:ext cx="5133975" cy="2705100"/>
    <xdr:graphicFrame>
      <xdr:nvGraphicFramePr>
        <xdr:cNvPr id="1094839260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18" width="8.86"/>
    <col customWidth="1" min="19" max="26" width="8.71"/>
  </cols>
  <sheetData>
    <row r="1" ht="14.25" customHeight="1">
      <c r="A1" s="1"/>
      <c r="B1" s="2" t="s">
        <v>0</v>
      </c>
      <c r="C1" s="3"/>
      <c r="D1" s="3"/>
      <c r="E1" s="3"/>
      <c r="F1" s="1"/>
      <c r="G1" s="4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1"/>
      <c r="T3" s="1"/>
      <c r="U3" s="1"/>
      <c r="V3" s="1"/>
      <c r="W3" s="1"/>
      <c r="X3" s="1"/>
      <c r="Y3" s="1"/>
      <c r="Z3" s="1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5" t="s">
        <v>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1"/>
      <c r="T21" s="1"/>
      <c r="U21" s="1"/>
      <c r="V21" s="1"/>
      <c r="W21" s="1"/>
      <c r="X21" s="1"/>
      <c r="Y21" s="1"/>
      <c r="Z21" s="1"/>
    </row>
    <row r="22" ht="6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5" t="str">
        <f>'Data for dashboard'!B9</f>
        <v>Water Consumption (by source in Kilo Ltrs)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7"/>
      <c r="S40" s="1"/>
      <c r="T40" s="1"/>
      <c r="U40" s="1"/>
      <c r="V40" s="1"/>
      <c r="W40" s="1"/>
      <c r="X40" s="1"/>
      <c r="Y40" s="1"/>
      <c r="Z40" s="1"/>
    </row>
    <row r="41" ht="8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3:R3"/>
    <mergeCell ref="B21:R21"/>
    <mergeCell ref="B40:R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36.14"/>
    <col customWidth="1" min="4" max="15" width="8.71"/>
    <col customWidth="1" min="16" max="16" width="10.86"/>
    <col customWidth="1" min="17" max="26" width="8.71"/>
  </cols>
  <sheetData>
    <row r="1" ht="14.25" customHeight="1">
      <c r="B1" s="8" t="s">
        <v>3</v>
      </c>
      <c r="C1" s="9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</row>
    <row r="2" ht="14.25" customHeight="1">
      <c r="A2" s="9">
        <v>1.0</v>
      </c>
      <c r="B2" s="11" t="s">
        <v>19</v>
      </c>
      <c r="C2" s="12" t="s">
        <v>20</v>
      </c>
      <c r="D2" s="13">
        <f>'Data Sheet'!D6</f>
        <v>6669</v>
      </c>
      <c r="E2" s="13">
        <f>'Data Sheet'!E6</f>
        <v>5754</v>
      </c>
      <c r="F2" s="13">
        <f>'Data Sheet'!F6</f>
        <v>4679</v>
      </c>
      <c r="G2" s="13">
        <f>'Data Sheet'!G6</f>
        <v>3794</v>
      </c>
      <c r="H2" s="13">
        <f>'Data Sheet'!H6</f>
        <v>3465.9</v>
      </c>
      <c r="I2" s="13">
        <f>'Data Sheet'!I6</f>
        <v>1662</v>
      </c>
      <c r="J2" s="13">
        <f>'Data Sheet'!J6</f>
        <v>2065</v>
      </c>
      <c r="K2" s="13">
        <f>'Data Sheet'!K6</f>
        <v>1984</v>
      </c>
      <c r="L2" s="13">
        <f>'Data Sheet'!L6</f>
        <v>1622</v>
      </c>
      <c r="M2" s="13" t="str">
        <f>'Data Sheet'!M6</f>
        <v/>
      </c>
      <c r="N2" s="13" t="str">
        <f>'Data Sheet'!N6</f>
        <v/>
      </c>
      <c r="O2" s="13" t="str">
        <f>'Data Sheet'!O6</f>
        <v/>
      </c>
      <c r="P2" s="13">
        <f t="shared" ref="P2:P4" si="1">SUM(D2:O2)</f>
        <v>31694.9</v>
      </c>
      <c r="Q2" s="14">
        <f t="shared" ref="Q2:Q5" si="2">P2/$P$5</f>
        <v>0.01264607217</v>
      </c>
    </row>
    <row r="3" ht="14.25" customHeight="1">
      <c r="B3" s="15"/>
      <c r="C3" s="12" t="s">
        <v>21</v>
      </c>
      <c r="D3" s="13" t="str">
        <f>'Data Sheet'!D7</f>
        <v/>
      </c>
      <c r="E3" s="13" t="str">
        <f>'Data Sheet'!E7</f>
        <v/>
      </c>
      <c r="F3" s="13">
        <f>'Data Sheet'!F7</f>
        <v>310650</v>
      </c>
      <c r="G3" s="13">
        <f>'Data Sheet'!G7</f>
        <v>335257</v>
      </c>
      <c r="H3" s="13">
        <f>'Data Sheet'!H7</f>
        <v>307939</v>
      </c>
      <c r="I3" s="13">
        <f>'Data Sheet'!I7</f>
        <v>264430</v>
      </c>
      <c r="J3" s="13">
        <f>'Data Sheet'!J7</f>
        <v>246046</v>
      </c>
      <c r="K3" s="13">
        <f>'Data Sheet'!K7</f>
        <v>275686</v>
      </c>
      <c r="L3" s="13">
        <f>'Data Sheet'!L7</f>
        <v>227718</v>
      </c>
      <c r="M3" s="13" t="str">
        <f>'Data Sheet'!M7</f>
        <v/>
      </c>
      <c r="N3" s="13" t="str">
        <f>'Data Sheet'!N7</f>
        <v/>
      </c>
      <c r="O3" s="13" t="str">
        <f>'Data Sheet'!O7</f>
        <v/>
      </c>
      <c r="P3" s="13">
        <f t="shared" si="1"/>
        <v>1967726</v>
      </c>
      <c r="Q3" s="14">
        <f t="shared" si="2"/>
        <v>0.7851106963</v>
      </c>
    </row>
    <row r="4" ht="14.25" customHeight="1">
      <c r="C4" s="1" t="s">
        <v>22</v>
      </c>
      <c r="D4" s="13">
        <f>'Data Sheet'!D9</f>
        <v>251707</v>
      </c>
      <c r="E4" s="13">
        <f>'Data Sheet'!E9</f>
        <v>249662</v>
      </c>
      <c r="F4" s="13">
        <f>'Data Sheet'!F9</f>
        <v>5514</v>
      </c>
      <c r="G4" s="13">
        <f>'Data Sheet'!G9</f>
        <v>0</v>
      </c>
      <c r="H4" s="13">
        <f>'Data Sheet'!H9</f>
        <v>0</v>
      </c>
      <c r="I4" s="13">
        <f>'Data Sheet'!I9</f>
        <v>0</v>
      </c>
      <c r="J4" s="13">
        <f>'Data Sheet'!J9</f>
        <v>0</v>
      </c>
      <c r="K4" s="13">
        <f>'Data Sheet'!K9</f>
        <v>0</v>
      </c>
      <c r="L4" s="13">
        <f>'Data Sheet'!L9</f>
        <v>0</v>
      </c>
      <c r="M4" s="13" t="str">
        <f>'Data Sheet'!M9</f>
        <v/>
      </c>
      <c r="N4" s="13" t="str">
        <f>'Data Sheet'!N9</f>
        <v/>
      </c>
      <c r="O4" s="13" t="str">
        <f>'Data Sheet'!O9</f>
        <v/>
      </c>
      <c r="P4" s="13">
        <f t="shared" si="1"/>
        <v>506883</v>
      </c>
      <c r="Q4" s="14">
        <f t="shared" si="2"/>
        <v>0.2022432316</v>
      </c>
    </row>
    <row r="5" ht="14.25" customHeight="1">
      <c r="C5" s="16" t="s">
        <v>23</v>
      </c>
      <c r="D5" s="13">
        <f t="shared" ref="D5:P5" si="3">SUM(D2:D4)</f>
        <v>258376</v>
      </c>
      <c r="E5" s="13">
        <f t="shared" si="3"/>
        <v>255416</v>
      </c>
      <c r="F5" s="13">
        <f t="shared" si="3"/>
        <v>320843</v>
      </c>
      <c r="G5" s="13">
        <f t="shared" si="3"/>
        <v>339051</v>
      </c>
      <c r="H5" s="13">
        <f t="shared" si="3"/>
        <v>311404.9</v>
      </c>
      <c r="I5" s="13">
        <f t="shared" si="3"/>
        <v>266092</v>
      </c>
      <c r="J5" s="13">
        <f t="shared" si="3"/>
        <v>248111</v>
      </c>
      <c r="K5" s="13">
        <f t="shared" si="3"/>
        <v>277670</v>
      </c>
      <c r="L5" s="13">
        <f t="shared" si="3"/>
        <v>229340</v>
      </c>
      <c r="M5" s="13">
        <f t="shared" si="3"/>
        <v>0</v>
      </c>
      <c r="N5" s="13">
        <f t="shared" si="3"/>
        <v>0</v>
      </c>
      <c r="O5" s="13">
        <f t="shared" si="3"/>
        <v>0</v>
      </c>
      <c r="P5" s="13">
        <f t="shared" si="3"/>
        <v>2506303.9</v>
      </c>
      <c r="Q5" s="14">
        <f t="shared" si="2"/>
        <v>1</v>
      </c>
    </row>
    <row r="6" ht="14.25" customHeight="1">
      <c r="C6" s="16" t="s">
        <v>24</v>
      </c>
      <c r="D6" s="17">
        <f t="shared" ref="D6:O6" si="4">SUM(D2:D3)/D5</f>
        <v>0.02581122086</v>
      </c>
      <c r="E6" s="17">
        <f t="shared" si="4"/>
        <v>0.0225279544</v>
      </c>
      <c r="F6" s="17">
        <f t="shared" si="4"/>
        <v>0.9828140243</v>
      </c>
      <c r="G6" s="17">
        <f t="shared" si="4"/>
        <v>1</v>
      </c>
      <c r="H6" s="17">
        <f t="shared" si="4"/>
        <v>1</v>
      </c>
      <c r="I6" s="17">
        <f t="shared" si="4"/>
        <v>1</v>
      </c>
      <c r="J6" s="17">
        <f t="shared" si="4"/>
        <v>1</v>
      </c>
      <c r="K6" s="17">
        <f t="shared" si="4"/>
        <v>1</v>
      </c>
      <c r="L6" s="17">
        <f t="shared" si="4"/>
        <v>1</v>
      </c>
      <c r="M6" s="17" t="str">
        <f t="shared" si="4"/>
        <v>#DIV/0!</v>
      </c>
      <c r="N6" s="17" t="str">
        <f t="shared" si="4"/>
        <v>#DIV/0!</v>
      </c>
      <c r="O6" s="17" t="str">
        <f t="shared" si="4"/>
        <v>#DIV/0!</v>
      </c>
    </row>
    <row r="7" ht="14.25" customHeight="1">
      <c r="C7" s="16"/>
    </row>
    <row r="8" ht="14.25" customHeight="1"/>
    <row r="9" ht="14.25" customHeight="1">
      <c r="A9" s="9">
        <v>2.0</v>
      </c>
      <c r="B9" s="11" t="s">
        <v>25</v>
      </c>
    </row>
    <row r="10" ht="14.25" customHeight="1">
      <c r="B10" s="8" t="s">
        <v>3</v>
      </c>
      <c r="C10" s="9" t="s">
        <v>4</v>
      </c>
      <c r="D10" s="10" t="s">
        <v>5</v>
      </c>
      <c r="E10" s="10" t="s">
        <v>6</v>
      </c>
      <c r="F10" s="10" t="s">
        <v>7</v>
      </c>
      <c r="G10" s="10" t="s">
        <v>8</v>
      </c>
      <c r="H10" s="10" t="s">
        <v>9</v>
      </c>
      <c r="I10" s="10" t="s">
        <v>10</v>
      </c>
      <c r="J10" s="10" t="s">
        <v>11</v>
      </c>
      <c r="K10" s="10" t="s">
        <v>12</v>
      </c>
      <c r="L10" s="10" t="s">
        <v>13</v>
      </c>
      <c r="M10" s="10" t="s">
        <v>14</v>
      </c>
      <c r="N10" s="10" t="s">
        <v>15</v>
      </c>
      <c r="O10" s="10" t="s">
        <v>16</v>
      </c>
      <c r="P10" s="10" t="s">
        <v>17</v>
      </c>
      <c r="Q10" s="10" t="s">
        <v>18</v>
      </c>
    </row>
    <row r="11" ht="14.25" customHeight="1">
      <c r="C11" s="1" t="s">
        <v>26</v>
      </c>
      <c r="D11" s="13">
        <f>'Data Sheet'!D15</f>
        <v>2691</v>
      </c>
      <c r="E11" s="13">
        <f>'Data Sheet'!E15</f>
        <v>2482</v>
      </c>
      <c r="F11" s="13">
        <f>'Data Sheet'!F15</f>
        <v>3125</v>
      </c>
      <c r="G11" s="13">
        <f>'Data Sheet'!G15</f>
        <v>3097</v>
      </c>
      <c r="H11" s="13">
        <f>'Data Sheet'!H15</f>
        <v>11130</v>
      </c>
      <c r="I11" s="13">
        <f>'Data Sheet'!I15</f>
        <v>8011</v>
      </c>
      <c r="J11" s="13">
        <f>'Data Sheet'!J15</f>
        <v>6214</v>
      </c>
      <c r="K11" s="13">
        <f>'Data Sheet'!K15</f>
        <v>3021</v>
      </c>
      <c r="L11" s="13">
        <f>'Data Sheet'!L15</f>
        <v>2704</v>
      </c>
      <c r="M11" s="13" t="str">
        <f>'Data Sheet'!M15</f>
        <v/>
      </c>
      <c r="N11" s="13" t="str">
        <f>'Data Sheet'!N15</f>
        <v/>
      </c>
      <c r="O11" s="13" t="str">
        <f>'Data Sheet'!O15</f>
        <v/>
      </c>
      <c r="P11" s="13">
        <f t="shared" ref="P11:P13" si="5">SUM(D11:O11)</f>
        <v>42475</v>
      </c>
      <c r="Q11" s="14">
        <f t="shared" ref="Q11:Q14" si="6">P11/$P$14</f>
        <v>0.8508462089</v>
      </c>
    </row>
    <row r="12" ht="14.25" customHeight="1">
      <c r="C12" s="1" t="s">
        <v>27</v>
      </c>
      <c r="D12" s="13">
        <f>'Data Sheet'!D16</f>
        <v>60</v>
      </c>
      <c r="E12" s="13">
        <f>'Data Sheet'!E16</f>
        <v>140</v>
      </c>
      <c r="F12" s="13">
        <f>'Data Sheet'!F16</f>
        <v>540</v>
      </c>
      <c r="G12" s="13">
        <f>'Data Sheet'!G16</f>
        <v>740</v>
      </c>
      <c r="H12" s="13">
        <f>'Data Sheet'!H16</f>
        <v>500</v>
      </c>
      <c r="I12" s="13">
        <f>'Data Sheet'!I16</f>
        <v>770</v>
      </c>
      <c r="J12" s="13">
        <f>'Data Sheet'!J16</f>
        <v>620</v>
      </c>
      <c r="K12" s="13">
        <f>'Data Sheet'!K16</f>
        <v>1120</v>
      </c>
      <c r="L12" s="13">
        <f>'Data Sheet'!L16</f>
        <v>720</v>
      </c>
      <c r="M12" s="13">
        <f>'Data Sheet'!M16</f>
        <v>1000</v>
      </c>
      <c r="N12" s="13" t="str">
        <f>'Data Sheet'!N16</f>
        <v/>
      </c>
      <c r="O12" s="13" t="str">
        <f>'Data Sheet'!O16</f>
        <v/>
      </c>
      <c r="P12" s="13">
        <f t="shared" si="5"/>
        <v>6210</v>
      </c>
      <c r="Q12" s="14">
        <f t="shared" si="6"/>
        <v>0.1243968206</v>
      </c>
    </row>
    <row r="13" ht="14.25" customHeight="1">
      <c r="C13" s="1" t="s">
        <v>28</v>
      </c>
      <c r="D13" s="13" t="str">
        <f>'Data Sheet'!D17</f>
        <v/>
      </c>
      <c r="E13" s="13" t="str">
        <f>'Data Sheet'!E17</f>
        <v/>
      </c>
      <c r="F13" s="13" t="str">
        <f>'Data Sheet'!F17</f>
        <v/>
      </c>
      <c r="G13" s="13" t="str">
        <f>'Data Sheet'!G17</f>
        <v/>
      </c>
      <c r="H13" s="13">
        <f>'Data Sheet'!H17</f>
        <v>303.32</v>
      </c>
      <c r="I13" s="13">
        <f>'Data Sheet'!I17</f>
        <v>210.57</v>
      </c>
      <c r="J13" s="13">
        <f>'Data Sheet'!J17</f>
        <v>188</v>
      </c>
      <c r="K13" s="13">
        <f>'Data Sheet'!K17</f>
        <v>245</v>
      </c>
      <c r="L13" s="13">
        <f>'Data Sheet'!L17</f>
        <v>174</v>
      </c>
      <c r="M13" s="13">
        <f>'Data Sheet'!M17</f>
        <v>115</v>
      </c>
      <c r="N13" s="13" t="str">
        <f>'Data Sheet'!N17</f>
        <v/>
      </c>
      <c r="O13" s="13" t="str">
        <f>'Data Sheet'!O17</f>
        <v/>
      </c>
      <c r="P13" s="13">
        <f t="shared" si="5"/>
        <v>1235.89</v>
      </c>
      <c r="Q13" s="14">
        <f t="shared" si="6"/>
        <v>0.02475697048</v>
      </c>
    </row>
    <row r="14" ht="14.25" customHeight="1">
      <c r="C14" s="18" t="s">
        <v>29</v>
      </c>
      <c r="D14" s="19">
        <f t="shared" ref="D14:P14" si="7">SUM(D11:D13)</f>
        <v>2751</v>
      </c>
      <c r="E14" s="19">
        <f t="shared" si="7"/>
        <v>2622</v>
      </c>
      <c r="F14" s="19">
        <f t="shared" si="7"/>
        <v>3665</v>
      </c>
      <c r="G14" s="19">
        <f t="shared" si="7"/>
        <v>3837</v>
      </c>
      <c r="H14" s="19">
        <f t="shared" si="7"/>
        <v>11933.32</v>
      </c>
      <c r="I14" s="19">
        <f t="shared" si="7"/>
        <v>8991.57</v>
      </c>
      <c r="J14" s="19">
        <f t="shared" si="7"/>
        <v>7022</v>
      </c>
      <c r="K14" s="19">
        <f t="shared" si="7"/>
        <v>4386</v>
      </c>
      <c r="L14" s="19">
        <f t="shared" si="7"/>
        <v>3598</v>
      </c>
      <c r="M14" s="19">
        <f t="shared" si="7"/>
        <v>1115</v>
      </c>
      <c r="N14" s="19">
        <f t="shared" si="7"/>
        <v>0</v>
      </c>
      <c r="O14" s="19">
        <f t="shared" si="7"/>
        <v>0</v>
      </c>
      <c r="P14" s="19">
        <f t="shared" si="7"/>
        <v>49920.89</v>
      </c>
      <c r="Q14" s="20">
        <f t="shared" si="6"/>
        <v>1</v>
      </c>
    </row>
    <row r="15" ht="14.25" customHeight="1"/>
    <row r="16" ht="14.25" customHeight="1">
      <c r="A16" s="9">
        <v>3.0</v>
      </c>
      <c r="B16" s="11" t="s">
        <v>30</v>
      </c>
      <c r="C16" s="9" t="s">
        <v>4</v>
      </c>
      <c r="D16" s="10" t="s">
        <v>5</v>
      </c>
      <c r="E16" s="10" t="s">
        <v>6</v>
      </c>
      <c r="F16" s="10" t="s">
        <v>7</v>
      </c>
      <c r="G16" s="10" t="s">
        <v>8</v>
      </c>
      <c r="H16" s="10" t="s">
        <v>9</v>
      </c>
      <c r="I16" s="10" t="s">
        <v>10</v>
      </c>
      <c r="J16" s="10" t="s">
        <v>11</v>
      </c>
      <c r="K16" s="10" t="s">
        <v>12</v>
      </c>
      <c r="L16" s="10" t="s">
        <v>13</v>
      </c>
      <c r="M16" s="10" t="s">
        <v>14</v>
      </c>
      <c r="N16" s="10" t="s">
        <v>15</v>
      </c>
      <c r="O16" s="10" t="s">
        <v>16</v>
      </c>
      <c r="P16" s="10" t="s">
        <v>17</v>
      </c>
      <c r="Q16" s="10" t="s">
        <v>18</v>
      </c>
    </row>
    <row r="17" ht="14.25" customHeight="1">
      <c r="C17" s="9" t="s">
        <v>31</v>
      </c>
      <c r="D17" s="13">
        <f>'Data Sheet'!D36</f>
        <v>2438</v>
      </c>
      <c r="E17" s="13">
        <f>'Data Sheet'!E36</f>
        <v>3453</v>
      </c>
      <c r="F17" s="13">
        <f>'Data Sheet'!F36</f>
        <v>3658.5</v>
      </c>
      <c r="G17" s="13">
        <f>'Data Sheet'!G36</f>
        <v>3983</v>
      </c>
      <c r="H17" s="13">
        <f>'Data Sheet'!H36</f>
        <v>4042</v>
      </c>
      <c r="I17" s="13">
        <f>'Data Sheet'!I36</f>
        <v>4545</v>
      </c>
      <c r="J17" s="13">
        <f>'Data Sheet'!J36</f>
        <v>6786</v>
      </c>
      <c r="K17" s="13">
        <f>'Data Sheet'!K36</f>
        <v>8911</v>
      </c>
      <c r="L17" s="13">
        <f>'Data Sheet'!L36</f>
        <v>9797</v>
      </c>
      <c r="M17" s="13">
        <f>'Data Sheet'!M36</f>
        <v>9988</v>
      </c>
      <c r="N17" s="13">
        <f>'Data Sheet'!N36</f>
        <v>0</v>
      </c>
      <c r="O17" s="13">
        <f>'Data Sheet'!O36</f>
        <v>0</v>
      </c>
      <c r="P17" s="13">
        <f t="shared" ref="P17:P18" si="8">SUM(D17:O17)</f>
        <v>57601.5</v>
      </c>
      <c r="Q17" s="14">
        <f t="shared" ref="Q17:Q19" si="9">P17/$P$19</f>
        <v>0.384227729</v>
      </c>
    </row>
    <row r="18" ht="14.25" customHeight="1">
      <c r="C18" s="9" t="s">
        <v>32</v>
      </c>
      <c r="D18" s="21">
        <f>'Data Sheet'!D44</f>
        <v>16515</v>
      </c>
      <c r="E18" s="21">
        <f>'Data Sheet'!E44</f>
        <v>13401</v>
      </c>
      <c r="F18" s="21">
        <f>'Data Sheet'!F44</f>
        <v>12682.5</v>
      </c>
      <c r="G18" s="21">
        <f>'Data Sheet'!G44</f>
        <v>14412</v>
      </c>
      <c r="H18" s="21">
        <f>'Data Sheet'!H44</f>
        <v>11238</v>
      </c>
      <c r="I18" s="21">
        <f>'Data Sheet'!I44</f>
        <v>12263</v>
      </c>
      <c r="J18" s="21">
        <f>'Data Sheet'!J44</f>
        <v>3047</v>
      </c>
      <c r="K18" s="21">
        <f>'Data Sheet'!K44</f>
        <v>2560</v>
      </c>
      <c r="L18" s="21">
        <f>'Data Sheet'!L44</f>
        <v>3520</v>
      </c>
      <c r="M18" s="21">
        <f>'Data Sheet'!M44</f>
        <v>2675</v>
      </c>
      <c r="N18" s="21" t="str">
        <f>'Data Sheet'!N44</f>
        <v/>
      </c>
      <c r="O18" s="21" t="str">
        <f>'Data Sheet'!O44</f>
        <v/>
      </c>
      <c r="P18" s="13">
        <f t="shared" si="8"/>
        <v>92313.5</v>
      </c>
      <c r="Q18" s="14">
        <f t="shared" si="9"/>
        <v>0.615772271</v>
      </c>
    </row>
    <row r="19" ht="14.25" customHeight="1">
      <c r="C19" s="22" t="s">
        <v>33</v>
      </c>
      <c r="D19" s="19">
        <f t="shared" ref="D19:O19" si="10">D17+D18</f>
        <v>18953</v>
      </c>
      <c r="E19" s="19">
        <f t="shared" si="10"/>
        <v>16854</v>
      </c>
      <c r="F19" s="19">
        <f t="shared" si="10"/>
        <v>16341</v>
      </c>
      <c r="G19" s="19">
        <f t="shared" si="10"/>
        <v>18395</v>
      </c>
      <c r="H19" s="19">
        <f t="shared" si="10"/>
        <v>15280</v>
      </c>
      <c r="I19" s="19">
        <f t="shared" si="10"/>
        <v>16808</v>
      </c>
      <c r="J19" s="19">
        <f t="shared" si="10"/>
        <v>9833</v>
      </c>
      <c r="K19" s="19">
        <f t="shared" si="10"/>
        <v>11471</v>
      </c>
      <c r="L19" s="19">
        <f t="shared" si="10"/>
        <v>13317</v>
      </c>
      <c r="M19" s="19">
        <f t="shared" si="10"/>
        <v>12663</v>
      </c>
      <c r="N19" s="19">
        <f t="shared" si="10"/>
        <v>0</v>
      </c>
      <c r="O19" s="19">
        <f t="shared" si="10"/>
        <v>0</v>
      </c>
      <c r="P19" s="19">
        <f>P18+P17</f>
        <v>149915</v>
      </c>
      <c r="Q19" s="20">
        <f t="shared" si="9"/>
        <v>1</v>
      </c>
    </row>
    <row r="20" ht="14.25" customHeight="1">
      <c r="C20" s="16" t="s">
        <v>34</v>
      </c>
      <c r="D20" s="17">
        <f t="shared" ref="D20:Q20" si="11">D17/D19</f>
        <v>0.1286339893</v>
      </c>
      <c r="E20" s="17">
        <f t="shared" si="11"/>
        <v>0.2048771805</v>
      </c>
      <c r="F20" s="17">
        <f t="shared" si="11"/>
        <v>0.2238847072</v>
      </c>
      <c r="G20" s="17">
        <f t="shared" si="11"/>
        <v>0.21652623</v>
      </c>
      <c r="H20" s="17">
        <f t="shared" si="11"/>
        <v>0.2645287958</v>
      </c>
      <c r="I20" s="17">
        <f t="shared" si="11"/>
        <v>0.2704069491</v>
      </c>
      <c r="J20" s="17">
        <f t="shared" si="11"/>
        <v>0.690125089</v>
      </c>
      <c r="K20" s="17">
        <f t="shared" si="11"/>
        <v>0.7768285241</v>
      </c>
      <c r="L20" s="17">
        <f t="shared" si="11"/>
        <v>0.7356762033</v>
      </c>
      <c r="M20" s="17">
        <f t="shared" si="11"/>
        <v>0.7887546395</v>
      </c>
      <c r="N20" s="17" t="str">
        <f t="shared" si="11"/>
        <v>#DIV/0!</v>
      </c>
      <c r="O20" s="17" t="str">
        <f t="shared" si="11"/>
        <v>#DIV/0!</v>
      </c>
      <c r="P20" s="17">
        <f t="shared" si="11"/>
        <v>0.384227729</v>
      </c>
      <c r="Q20" s="17">
        <f t="shared" si="11"/>
        <v>0.384227729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29"/>
    <col customWidth="1" min="2" max="2" width="9.29"/>
    <col customWidth="1" min="3" max="3" width="49.43"/>
    <col customWidth="1" min="4" max="15" width="8.71"/>
    <col customWidth="1" min="16" max="16" width="10.86"/>
    <col customWidth="1" min="17" max="27" width="8.71"/>
  </cols>
  <sheetData>
    <row r="1">
      <c r="A1" s="23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25"/>
      <c r="B2" s="10"/>
      <c r="C2" s="10"/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0" t="s">
        <v>36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8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5">
        <v>1.0</v>
      </c>
      <c r="B4" s="11" t="s">
        <v>19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0" t="s">
        <v>37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27"/>
      <c r="B5" s="12" t="s">
        <v>38</v>
      </c>
      <c r="C5" s="12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>
      <c r="A6" s="27"/>
      <c r="C6" s="1" t="s">
        <v>39</v>
      </c>
      <c r="D6" s="29">
        <v>6669.0</v>
      </c>
      <c r="E6" s="29">
        <v>5754.0</v>
      </c>
      <c r="F6" s="30">
        <v>4679.0</v>
      </c>
      <c r="G6" s="30">
        <v>3794.0</v>
      </c>
      <c r="H6" s="30">
        <v>3465.9</v>
      </c>
      <c r="I6" s="31">
        <v>1662.0</v>
      </c>
      <c r="J6" s="32">
        <v>2065.0</v>
      </c>
      <c r="K6" s="32">
        <v>1984.0</v>
      </c>
      <c r="L6" s="32">
        <v>1622.0</v>
      </c>
      <c r="M6" s="13"/>
      <c r="N6" s="13"/>
      <c r="O6" s="13"/>
      <c r="R6" s="10" t="s">
        <v>5</v>
      </c>
      <c r="S6" s="29">
        <v>6669.0</v>
      </c>
      <c r="T6" s="13">
        <v>315329.0</v>
      </c>
      <c r="U6" s="33">
        <v>251707.0</v>
      </c>
    </row>
    <row r="7">
      <c r="A7" s="27"/>
      <c r="C7" s="1" t="s">
        <v>40</v>
      </c>
      <c r="D7" s="13"/>
      <c r="E7" s="13"/>
      <c r="F7" s="30">
        <f>315329-F6</f>
        <v>310650</v>
      </c>
      <c r="G7" s="30">
        <f>339051-G6</f>
        <v>335257</v>
      </c>
      <c r="H7" s="30">
        <v>307939.0</v>
      </c>
      <c r="I7" s="30">
        <v>264430.0</v>
      </c>
      <c r="J7" s="30">
        <v>246046.0</v>
      </c>
      <c r="K7" s="32">
        <v>275686.0</v>
      </c>
      <c r="L7" s="32">
        <v>227718.0</v>
      </c>
      <c r="M7" s="13"/>
      <c r="N7" s="13"/>
      <c r="O7" s="13"/>
      <c r="R7" s="10" t="s">
        <v>6</v>
      </c>
      <c r="S7" s="29">
        <v>5754.0</v>
      </c>
      <c r="T7" s="13">
        <v>339051.0</v>
      </c>
      <c r="U7" s="33">
        <v>249662.0</v>
      </c>
    </row>
    <row r="8">
      <c r="A8" s="27"/>
      <c r="B8" s="1" t="s">
        <v>41</v>
      </c>
      <c r="D8" s="13"/>
      <c r="E8" s="13"/>
      <c r="F8" s="34"/>
      <c r="G8" s="34"/>
      <c r="H8" s="34"/>
      <c r="I8" s="34"/>
      <c r="J8" s="13"/>
      <c r="K8" s="13"/>
      <c r="L8" s="13"/>
      <c r="M8" s="13"/>
      <c r="N8" s="13"/>
      <c r="O8" s="13"/>
      <c r="R8" s="10" t="s">
        <v>7</v>
      </c>
      <c r="S8" s="29">
        <v>4679.0</v>
      </c>
      <c r="U8" s="33">
        <v>5514.0</v>
      </c>
    </row>
    <row r="9">
      <c r="A9" s="27"/>
      <c r="C9" s="1" t="s">
        <v>42</v>
      </c>
      <c r="D9" s="33">
        <v>251707.0</v>
      </c>
      <c r="E9" s="33">
        <v>249662.0</v>
      </c>
      <c r="F9" s="35">
        <v>5514.0</v>
      </c>
      <c r="G9" s="35">
        <v>0.0</v>
      </c>
      <c r="H9" s="30">
        <v>0.0</v>
      </c>
      <c r="I9" s="30">
        <v>0.0</v>
      </c>
      <c r="J9" s="32">
        <v>0.0</v>
      </c>
      <c r="K9" s="32">
        <v>0.0</v>
      </c>
      <c r="L9" s="32">
        <v>0.0</v>
      </c>
      <c r="M9" s="13"/>
      <c r="N9" s="13"/>
      <c r="O9" s="13"/>
      <c r="R9" s="10" t="s">
        <v>8</v>
      </c>
      <c r="S9" s="29">
        <v>3794.0</v>
      </c>
      <c r="U9" s="33">
        <v>0.0</v>
      </c>
    </row>
    <row r="10">
      <c r="A10" s="27"/>
      <c r="C10" s="1" t="s">
        <v>43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R10" s="10" t="s">
        <v>9</v>
      </c>
    </row>
    <row r="11">
      <c r="A11" s="27"/>
      <c r="B11" s="16" t="s">
        <v>23</v>
      </c>
      <c r="C11" s="36"/>
      <c r="D11" s="37">
        <f t="shared" ref="D11:O11" si="1">SUM(D6:D10)</f>
        <v>258376</v>
      </c>
      <c r="E11" s="37">
        <f t="shared" si="1"/>
        <v>255416</v>
      </c>
      <c r="F11" s="37">
        <f t="shared" si="1"/>
        <v>320843</v>
      </c>
      <c r="G11" s="37">
        <f t="shared" si="1"/>
        <v>339051</v>
      </c>
      <c r="H11" s="37">
        <f t="shared" si="1"/>
        <v>311404.9</v>
      </c>
      <c r="I11" s="37">
        <f t="shared" si="1"/>
        <v>266092</v>
      </c>
      <c r="J11" s="37">
        <f t="shared" si="1"/>
        <v>248111</v>
      </c>
      <c r="K11" s="37">
        <f t="shared" si="1"/>
        <v>277670</v>
      </c>
      <c r="L11" s="37">
        <f t="shared" si="1"/>
        <v>229340</v>
      </c>
      <c r="M11" s="37">
        <f t="shared" si="1"/>
        <v>0</v>
      </c>
      <c r="N11" s="37">
        <f t="shared" si="1"/>
        <v>0</v>
      </c>
      <c r="O11" s="37">
        <f t="shared" si="1"/>
        <v>0</v>
      </c>
      <c r="R11" s="10" t="s">
        <v>10</v>
      </c>
    </row>
    <row r="12">
      <c r="A12" s="27"/>
      <c r="B12" s="16" t="s">
        <v>24</v>
      </c>
      <c r="C12" s="16"/>
      <c r="D12" s="17">
        <f t="shared" ref="D12:O12" si="2">SUM(D6:D7)/D11</f>
        <v>0.02581122086</v>
      </c>
      <c r="E12" s="17">
        <f t="shared" si="2"/>
        <v>0.0225279544</v>
      </c>
      <c r="F12" s="17">
        <f t="shared" si="2"/>
        <v>0.9828140243</v>
      </c>
      <c r="G12" s="17">
        <f t="shared" si="2"/>
        <v>1</v>
      </c>
      <c r="H12" s="17">
        <f t="shared" si="2"/>
        <v>1</v>
      </c>
      <c r="I12" s="17">
        <f t="shared" si="2"/>
        <v>1</v>
      </c>
      <c r="J12" s="17">
        <f t="shared" si="2"/>
        <v>1</v>
      </c>
      <c r="K12" s="17">
        <f t="shared" si="2"/>
        <v>1</v>
      </c>
      <c r="L12" s="17">
        <f t="shared" si="2"/>
        <v>1</v>
      </c>
      <c r="M12" s="17" t="str">
        <f t="shared" si="2"/>
        <v>#DIV/0!</v>
      </c>
      <c r="N12" s="17" t="str">
        <f t="shared" si="2"/>
        <v>#DIV/0!</v>
      </c>
      <c r="O12" s="17" t="str">
        <f t="shared" si="2"/>
        <v>#DIV/0!</v>
      </c>
      <c r="R12" s="10" t="s">
        <v>11</v>
      </c>
    </row>
    <row r="13">
      <c r="A13" s="27"/>
      <c r="D13" s="38"/>
      <c r="H13" s="1"/>
      <c r="R13" s="10" t="s">
        <v>12</v>
      </c>
    </row>
    <row r="14">
      <c r="A14" s="25">
        <v>2.0</v>
      </c>
      <c r="B14" s="11" t="s">
        <v>25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 t="s">
        <v>37</v>
      </c>
      <c r="Q14" s="10"/>
      <c r="R14" s="10" t="s">
        <v>13</v>
      </c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27"/>
      <c r="B15" s="1" t="s">
        <v>44</v>
      </c>
      <c r="D15" s="39">
        <v>2691.0</v>
      </c>
      <c r="E15" s="39">
        <v>2482.0</v>
      </c>
      <c r="F15" s="39">
        <v>3125.0</v>
      </c>
      <c r="G15" s="39">
        <v>3097.0</v>
      </c>
      <c r="H15" s="30">
        <v>11130.0</v>
      </c>
      <c r="I15" s="30">
        <v>8011.0</v>
      </c>
      <c r="J15" s="31">
        <v>6214.0</v>
      </c>
      <c r="K15" s="32">
        <v>3021.0</v>
      </c>
      <c r="L15" s="32">
        <v>2704.0</v>
      </c>
      <c r="M15" s="13"/>
      <c r="N15" s="13"/>
      <c r="O15" s="13"/>
      <c r="R15" s="10" t="s">
        <v>14</v>
      </c>
    </row>
    <row r="16">
      <c r="A16" s="27"/>
      <c r="B16" s="1" t="s">
        <v>45</v>
      </c>
      <c r="D16" s="39">
        <v>60.0</v>
      </c>
      <c r="E16" s="39">
        <v>140.0</v>
      </c>
      <c r="F16" s="39">
        <v>540.0</v>
      </c>
      <c r="G16" s="39">
        <v>740.0</v>
      </c>
      <c r="H16" s="30">
        <v>500.0</v>
      </c>
      <c r="I16" s="31">
        <v>770.0</v>
      </c>
      <c r="J16" s="31">
        <v>620.0</v>
      </c>
      <c r="K16" s="13">
        <f>60+120+320+420+40+160</f>
        <v>1120</v>
      </c>
      <c r="L16" s="13">
        <f>20+60+240+260+20+100+20</f>
        <v>720</v>
      </c>
      <c r="M16" s="32">
        <v>1000.0</v>
      </c>
      <c r="N16" s="13"/>
      <c r="O16" s="13"/>
      <c r="P16" s="9">
        <f>60+100+280</f>
        <v>440</v>
      </c>
      <c r="R16" s="10" t="s">
        <v>15</v>
      </c>
    </row>
    <row r="17">
      <c r="A17" s="27"/>
      <c r="B17" s="1" t="s">
        <v>46</v>
      </c>
      <c r="D17" s="13"/>
      <c r="E17" s="13"/>
      <c r="F17" s="13"/>
      <c r="G17" s="13"/>
      <c r="H17" s="30">
        <v>303.32</v>
      </c>
      <c r="I17" s="30">
        <v>210.57</v>
      </c>
      <c r="J17" s="30">
        <v>188.0</v>
      </c>
      <c r="K17" s="32">
        <v>245.0</v>
      </c>
      <c r="L17" s="32">
        <v>174.0</v>
      </c>
      <c r="M17" s="32">
        <v>115.0</v>
      </c>
      <c r="N17" s="13"/>
      <c r="O17" s="13"/>
      <c r="R17" s="10" t="s">
        <v>16</v>
      </c>
    </row>
    <row r="18">
      <c r="A18" s="27"/>
      <c r="B18" s="16" t="s">
        <v>29</v>
      </c>
      <c r="C18" s="36"/>
      <c r="D18" s="37">
        <f t="shared" ref="D18:O18" si="3">SUM(D15:D17)</f>
        <v>2751</v>
      </c>
      <c r="E18" s="37">
        <f t="shared" si="3"/>
        <v>2622</v>
      </c>
      <c r="F18" s="37">
        <f t="shared" si="3"/>
        <v>3665</v>
      </c>
      <c r="G18" s="37">
        <f t="shared" si="3"/>
        <v>3837</v>
      </c>
      <c r="H18" s="37">
        <f t="shared" si="3"/>
        <v>11933.32</v>
      </c>
      <c r="I18" s="37">
        <f t="shared" si="3"/>
        <v>8991.57</v>
      </c>
      <c r="J18" s="37">
        <f t="shared" si="3"/>
        <v>7022</v>
      </c>
      <c r="K18" s="37">
        <f t="shared" si="3"/>
        <v>4386</v>
      </c>
      <c r="L18" s="37">
        <f t="shared" si="3"/>
        <v>3598</v>
      </c>
      <c r="M18" s="37">
        <f t="shared" si="3"/>
        <v>1115</v>
      </c>
      <c r="N18" s="37">
        <f t="shared" si="3"/>
        <v>0</v>
      </c>
      <c r="O18" s="37">
        <f t="shared" si="3"/>
        <v>0</v>
      </c>
    </row>
    <row r="19">
      <c r="A19" s="27"/>
      <c r="B19" s="16" t="s">
        <v>47</v>
      </c>
      <c r="C19" s="16"/>
      <c r="D19" s="17">
        <f t="shared" ref="D19:O19" si="4">D17/D18</f>
        <v>0</v>
      </c>
      <c r="E19" s="17">
        <f t="shared" si="4"/>
        <v>0</v>
      </c>
      <c r="F19" s="17">
        <f t="shared" si="4"/>
        <v>0</v>
      </c>
      <c r="G19" s="17">
        <f t="shared" si="4"/>
        <v>0</v>
      </c>
      <c r="H19" s="17">
        <f t="shared" si="4"/>
        <v>0.02541790549</v>
      </c>
      <c r="I19" s="17">
        <f t="shared" si="4"/>
        <v>0.02341860209</v>
      </c>
      <c r="J19" s="17">
        <f t="shared" si="4"/>
        <v>0.02677299915</v>
      </c>
      <c r="K19" s="17">
        <f t="shared" si="4"/>
        <v>0.05585955312</v>
      </c>
      <c r="L19" s="17">
        <f t="shared" si="4"/>
        <v>0.04836020011</v>
      </c>
      <c r="M19" s="17">
        <f t="shared" si="4"/>
        <v>0.1031390135</v>
      </c>
      <c r="N19" s="17" t="str">
        <f t="shared" si="4"/>
        <v>#DIV/0!</v>
      </c>
      <c r="O19" s="17" t="str">
        <f t="shared" si="4"/>
        <v>#DIV/0!</v>
      </c>
    </row>
    <row r="20">
      <c r="A20" s="27"/>
      <c r="H20" s="1"/>
    </row>
    <row r="21" ht="15.75" customHeight="1">
      <c r="A21" s="25">
        <v>3.0</v>
      </c>
      <c r="B21" s="11" t="s">
        <v>48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0" t="s">
        <v>49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27"/>
      <c r="B22" s="1" t="s">
        <v>50</v>
      </c>
      <c r="D22" s="29">
        <v>9502.0</v>
      </c>
      <c r="E22" s="29">
        <v>8278.0</v>
      </c>
      <c r="F22" s="29">
        <v>8543.0</v>
      </c>
      <c r="G22" s="29">
        <v>9851.0</v>
      </c>
      <c r="H22" s="29">
        <v>7447.0</v>
      </c>
      <c r="I22" s="40">
        <v>8991.0</v>
      </c>
      <c r="J22" s="40">
        <v>4697.0</v>
      </c>
      <c r="K22" s="40">
        <v>6945.0</v>
      </c>
      <c r="L22" s="40">
        <v>6233.0</v>
      </c>
      <c r="M22" s="40">
        <v>6831.0</v>
      </c>
      <c r="N22" s="29"/>
      <c r="O22" s="29"/>
    </row>
    <row r="23" ht="15.75" customHeight="1">
      <c r="A23" s="27"/>
      <c r="B23" s="1" t="s">
        <v>51</v>
      </c>
      <c r="D23" s="29">
        <v>3794.0</v>
      </c>
      <c r="E23" s="29">
        <v>3569.0</v>
      </c>
      <c r="F23" s="29">
        <v>2955.0</v>
      </c>
      <c r="G23" s="29">
        <v>2717.0</v>
      </c>
      <c r="H23" s="29">
        <v>2783.0</v>
      </c>
      <c r="I23" s="40">
        <v>3314.0</v>
      </c>
      <c r="J23" s="40">
        <v>2606.0</v>
      </c>
      <c r="K23" s="40">
        <v>4801.0</v>
      </c>
      <c r="L23" s="40">
        <v>5510.0</v>
      </c>
      <c r="M23" s="40">
        <v>5367.0</v>
      </c>
      <c r="N23" s="29"/>
      <c r="O23" s="29"/>
    </row>
    <row r="24" ht="15.75" customHeight="1">
      <c r="A24" s="27"/>
      <c r="B24" s="1" t="s">
        <v>52</v>
      </c>
      <c r="D24" s="29"/>
      <c r="E24" s="29"/>
      <c r="F24" s="29">
        <v>150.0</v>
      </c>
      <c r="G24" s="29"/>
      <c r="H24" s="29"/>
      <c r="I24" s="40">
        <v>65.0</v>
      </c>
      <c r="J24" s="40">
        <v>30.0</v>
      </c>
      <c r="K24" s="40">
        <v>60.0</v>
      </c>
      <c r="L24" s="40">
        <v>52.0</v>
      </c>
      <c r="M24" s="40">
        <v>61.0</v>
      </c>
      <c r="N24" s="29"/>
      <c r="O24" s="29"/>
    </row>
    <row r="25" ht="15.75" customHeight="1">
      <c r="A25" s="27"/>
      <c r="B25" s="1" t="s">
        <v>53</v>
      </c>
      <c r="D25" s="29"/>
      <c r="E25" s="29">
        <v>40.0</v>
      </c>
      <c r="F25" s="29"/>
      <c r="G25" s="29"/>
      <c r="H25" s="29">
        <v>143.0</v>
      </c>
      <c r="I25" s="29"/>
      <c r="J25" s="29"/>
      <c r="K25" s="29"/>
      <c r="L25" s="29"/>
      <c r="M25" s="29"/>
      <c r="N25" s="29"/>
      <c r="O25" s="29"/>
    </row>
    <row r="26" ht="15.75" customHeight="1">
      <c r="A26" s="27"/>
      <c r="B26" s="1" t="s">
        <v>54</v>
      </c>
      <c r="D26" s="29"/>
      <c r="E26" s="29">
        <v>72.0</v>
      </c>
      <c r="F26" s="29"/>
      <c r="G26" s="29">
        <v>45.0</v>
      </c>
      <c r="H26" s="29">
        <v>40.0</v>
      </c>
      <c r="I26" s="29"/>
      <c r="J26" s="40">
        <v>500.0</v>
      </c>
      <c r="K26" s="29"/>
      <c r="L26" s="29"/>
      <c r="M26" s="40">
        <v>250.0</v>
      </c>
      <c r="N26" s="29"/>
      <c r="O26" s="29"/>
    </row>
    <row r="27" ht="15.75" customHeight="1">
      <c r="A27" s="27"/>
      <c r="B27" s="1" t="s">
        <v>55</v>
      </c>
      <c r="D27" s="29">
        <v>5657.0</v>
      </c>
      <c r="E27" s="29">
        <v>4895.0</v>
      </c>
      <c r="F27" s="29">
        <v>4693.0</v>
      </c>
      <c r="G27" s="29">
        <v>5782.0</v>
      </c>
      <c r="H27" s="29">
        <v>4867.0</v>
      </c>
      <c r="I27" s="40">
        <v>4438.0</v>
      </c>
      <c r="J27" s="40">
        <v>2000.0</v>
      </c>
      <c r="K27" s="40">
        <v>1954.0</v>
      </c>
      <c r="L27" s="40">
        <v>1892.0</v>
      </c>
      <c r="M27" s="40">
        <v>1834.0</v>
      </c>
      <c r="N27" s="29"/>
      <c r="O27" s="29"/>
    </row>
    <row r="28" ht="15.75" customHeight="1">
      <c r="A28" s="27"/>
      <c r="B28" s="16" t="s">
        <v>56</v>
      </c>
      <c r="C28" s="36"/>
      <c r="D28" s="41">
        <f t="shared" ref="D28:O28" si="5">SUM(D22:D27)</f>
        <v>18953</v>
      </c>
      <c r="E28" s="41">
        <f t="shared" si="5"/>
        <v>16854</v>
      </c>
      <c r="F28" s="41">
        <f t="shared" si="5"/>
        <v>16341</v>
      </c>
      <c r="G28" s="41">
        <f t="shared" si="5"/>
        <v>18395</v>
      </c>
      <c r="H28" s="41">
        <f t="shared" si="5"/>
        <v>15280</v>
      </c>
      <c r="I28" s="41">
        <f t="shared" si="5"/>
        <v>16808</v>
      </c>
      <c r="J28" s="41">
        <f t="shared" si="5"/>
        <v>9833</v>
      </c>
      <c r="K28" s="41">
        <f t="shared" si="5"/>
        <v>13760</v>
      </c>
      <c r="L28" s="41">
        <f t="shared" si="5"/>
        <v>13687</v>
      </c>
      <c r="M28" s="41">
        <f t="shared" si="5"/>
        <v>14343</v>
      </c>
      <c r="N28" s="41">
        <f t="shared" si="5"/>
        <v>0</v>
      </c>
      <c r="O28" s="41">
        <f t="shared" si="5"/>
        <v>0</v>
      </c>
    </row>
    <row r="29" ht="15.75" customHeight="1">
      <c r="A29" s="27"/>
      <c r="H29" s="1"/>
    </row>
    <row r="30" ht="15.75" customHeight="1">
      <c r="A30" s="25">
        <v>4.0</v>
      </c>
      <c r="B30" s="11" t="s">
        <v>57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0" t="s">
        <v>49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27"/>
      <c r="B31" s="1" t="s">
        <v>58</v>
      </c>
      <c r="D31" s="13">
        <v>938.0</v>
      </c>
      <c r="E31" s="13">
        <v>687.0</v>
      </c>
      <c r="F31" s="13">
        <v>1059.0</v>
      </c>
      <c r="G31" s="13">
        <v>1221.0</v>
      </c>
      <c r="H31" s="13">
        <v>1076.0</v>
      </c>
      <c r="I31" s="32">
        <v>1230.0</v>
      </c>
      <c r="J31" s="32">
        <v>3650.0</v>
      </c>
      <c r="K31" s="32">
        <v>4050.0</v>
      </c>
      <c r="L31" s="32">
        <v>4235.0</v>
      </c>
      <c r="M31" s="32">
        <v>4560.0</v>
      </c>
      <c r="N31" s="13"/>
      <c r="O31" s="13"/>
    </row>
    <row r="32" ht="15.75" customHeight="1">
      <c r="A32" s="27"/>
      <c r="B32" s="1" t="s">
        <v>59</v>
      </c>
      <c r="D32" s="13">
        <v>1500.0</v>
      </c>
      <c r="E32" s="13">
        <v>2654.0</v>
      </c>
      <c r="F32" s="13">
        <v>2589.0</v>
      </c>
      <c r="G32" s="13">
        <v>2717.0</v>
      </c>
      <c r="H32" s="13">
        <v>2783.0</v>
      </c>
      <c r="I32" s="32">
        <v>3250.0</v>
      </c>
      <c r="J32" s="32">
        <v>2606.0</v>
      </c>
      <c r="K32" s="32">
        <v>4801.0</v>
      </c>
      <c r="L32" s="32">
        <v>5510.0</v>
      </c>
      <c r="M32" s="32">
        <v>5367.0</v>
      </c>
      <c r="N32" s="13"/>
      <c r="O32" s="13"/>
    </row>
    <row r="33" ht="15.75" customHeight="1">
      <c r="A33" s="27"/>
      <c r="B33" s="1" t="s">
        <v>60</v>
      </c>
      <c r="D33" s="13"/>
      <c r="E33" s="13">
        <v>40.0</v>
      </c>
      <c r="F33" s="13"/>
      <c r="G33" s="13"/>
      <c r="H33" s="13">
        <v>143.0</v>
      </c>
      <c r="I33" s="13"/>
      <c r="J33" s="13"/>
      <c r="K33" s="13"/>
      <c r="L33" s="13"/>
      <c r="M33" s="13"/>
      <c r="N33" s="13"/>
      <c r="O33" s="13"/>
    </row>
    <row r="34" ht="15.75" customHeight="1">
      <c r="A34" s="27"/>
      <c r="B34" s="1" t="s">
        <v>61</v>
      </c>
      <c r="D34" s="13"/>
      <c r="E34" s="13"/>
      <c r="F34" s="13">
        <v>10.5</v>
      </c>
      <c r="G34" s="13"/>
      <c r="H34" s="13">
        <v>40.0</v>
      </c>
      <c r="I34" s="32">
        <v>65.0</v>
      </c>
      <c r="J34" s="32">
        <v>30.0</v>
      </c>
      <c r="K34" s="32">
        <v>60.0</v>
      </c>
      <c r="L34" s="32">
        <v>52.0</v>
      </c>
      <c r="M34" s="32">
        <v>61.0</v>
      </c>
      <c r="N34" s="13"/>
      <c r="O34" s="13"/>
    </row>
    <row r="35" ht="15.75" customHeight="1">
      <c r="A35" s="27"/>
      <c r="B35" s="1" t="s">
        <v>62</v>
      </c>
      <c r="D35" s="13"/>
      <c r="E35" s="13">
        <v>72.0</v>
      </c>
      <c r="F35" s="13"/>
      <c r="G35" s="13">
        <v>45.0</v>
      </c>
      <c r="H35" s="13"/>
      <c r="I35" s="13"/>
      <c r="J35" s="32">
        <v>500.0</v>
      </c>
      <c r="K35" s="13"/>
      <c r="L35" s="13"/>
      <c r="M35" s="13"/>
      <c r="N35" s="13"/>
      <c r="O35" s="13"/>
    </row>
    <row r="36" ht="15.75" customHeight="1">
      <c r="A36" s="27"/>
      <c r="B36" s="16" t="s">
        <v>63</v>
      </c>
      <c r="C36" s="36"/>
      <c r="D36" s="37">
        <f t="shared" ref="D36:O36" si="6">SUM(D31:D35)</f>
        <v>2438</v>
      </c>
      <c r="E36" s="37">
        <f t="shared" si="6"/>
        <v>3453</v>
      </c>
      <c r="F36" s="37">
        <f t="shared" si="6"/>
        <v>3658.5</v>
      </c>
      <c r="G36" s="37">
        <f t="shared" si="6"/>
        <v>3983</v>
      </c>
      <c r="H36" s="37">
        <f t="shared" si="6"/>
        <v>4042</v>
      </c>
      <c r="I36" s="37">
        <f t="shared" si="6"/>
        <v>4545</v>
      </c>
      <c r="J36" s="37">
        <f t="shared" si="6"/>
        <v>6786</v>
      </c>
      <c r="K36" s="37">
        <f t="shared" si="6"/>
        <v>8911</v>
      </c>
      <c r="L36" s="37">
        <f t="shared" si="6"/>
        <v>9797</v>
      </c>
      <c r="M36" s="37">
        <f t="shared" si="6"/>
        <v>9988</v>
      </c>
      <c r="N36" s="37">
        <f t="shared" si="6"/>
        <v>0</v>
      </c>
      <c r="O36" s="37">
        <f t="shared" si="6"/>
        <v>0</v>
      </c>
    </row>
    <row r="37" ht="15.75" customHeight="1">
      <c r="A37" s="27"/>
      <c r="B37" s="16" t="s">
        <v>64</v>
      </c>
      <c r="C37" s="36"/>
      <c r="D37" s="17">
        <f t="shared" ref="D37:O37" si="7">D36/D28</f>
        <v>0.1286339893</v>
      </c>
      <c r="E37" s="17">
        <f t="shared" si="7"/>
        <v>0.2048771805</v>
      </c>
      <c r="F37" s="17">
        <f t="shared" si="7"/>
        <v>0.2238847072</v>
      </c>
      <c r="G37" s="17">
        <f t="shared" si="7"/>
        <v>0.21652623</v>
      </c>
      <c r="H37" s="17">
        <f t="shared" si="7"/>
        <v>0.2645287958</v>
      </c>
      <c r="I37" s="17">
        <f t="shared" si="7"/>
        <v>0.2704069491</v>
      </c>
      <c r="J37" s="17">
        <f t="shared" si="7"/>
        <v>0.690125089</v>
      </c>
      <c r="K37" s="17">
        <f t="shared" si="7"/>
        <v>0.6476017442</v>
      </c>
      <c r="L37" s="17">
        <f t="shared" si="7"/>
        <v>0.7157887046</v>
      </c>
      <c r="M37" s="17">
        <f t="shared" si="7"/>
        <v>0.6963675661</v>
      </c>
      <c r="N37" s="17" t="str">
        <f t="shared" si="7"/>
        <v>#DIV/0!</v>
      </c>
      <c r="O37" s="17" t="str">
        <f t="shared" si="7"/>
        <v>#DIV/0!</v>
      </c>
    </row>
    <row r="38" ht="15.75" customHeight="1">
      <c r="A38" s="27"/>
      <c r="H38" s="1"/>
    </row>
    <row r="39" ht="15.75" customHeight="1">
      <c r="A39" s="25">
        <v>5.0</v>
      </c>
      <c r="B39" s="11" t="s">
        <v>65</v>
      </c>
      <c r="C39" s="11"/>
      <c r="D39" s="11">
        <v>29.0</v>
      </c>
      <c r="E39" s="11">
        <v>20.0</v>
      </c>
      <c r="F39" s="11">
        <v>16.0</v>
      </c>
      <c r="G39" s="11">
        <v>39.0</v>
      </c>
      <c r="H39" s="11">
        <v>20.0</v>
      </c>
      <c r="I39" s="42">
        <v>35.0</v>
      </c>
      <c r="J39" s="42">
        <v>90.0</v>
      </c>
      <c r="K39" s="42">
        <v>95.0</v>
      </c>
      <c r="L39" s="42">
        <v>105.0</v>
      </c>
      <c r="M39" s="42">
        <v>95.0</v>
      </c>
      <c r="N39" s="11"/>
      <c r="O39" s="1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27"/>
    </row>
    <row r="41" ht="15.75" customHeight="1">
      <c r="A41" s="25">
        <v>6.0</v>
      </c>
      <c r="B41" s="11" t="s">
        <v>66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0" t="s">
        <v>49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27"/>
      <c r="B42" s="1" t="s">
        <v>67</v>
      </c>
      <c r="H42" s="1"/>
    </row>
    <row r="43" ht="15.75" customHeight="1">
      <c r="A43" s="27"/>
      <c r="B43" s="1" t="s">
        <v>68</v>
      </c>
      <c r="D43" s="43">
        <f t="shared" ref="D43:J43" si="8">D28-D36</f>
        <v>16515</v>
      </c>
      <c r="E43" s="43">
        <f t="shared" si="8"/>
        <v>13401</v>
      </c>
      <c r="F43" s="43">
        <f t="shared" si="8"/>
        <v>12682.5</v>
      </c>
      <c r="G43" s="43">
        <f t="shared" si="8"/>
        <v>14412</v>
      </c>
      <c r="H43" s="43">
        <f t="shared" si="8"/>
        <v>11238</v>
      </c>
      <c r="I43" s="43">
        <f t="shared" si="8"/>
        <v>12263</v>
      </c>
      <c r="J43" s="43">
        <f t="shared" si="8"/>
        <v>3047</v>
      </c>
      <c r="K43" s="44">
        <v>2560.0</v>
      </c>
      <c r="L43" s="44">
        <v>3520.0</v>
      </c>
      <c r="M43" s="44">
        <v>2675.0</v>
      </c>
      <c r="N43" s="43"/>
      <c r="O43" s="43"/>
    </row>
    <row r="44" ht="15.75" customHeight="1">
      <c r="A44" s="27"/>
      <c r="B44" s="16" t="s">
        <v>69</v>
      </c>
      <c r="C44" s="36"/>
      <c r="D44" s="45">
        <f t="shared" ref="D44:O44" si="9">D43</f>
        <v>16515</v>
      </c>
      <c r="E44" s="45">
        <f t="shared" si="9"/>
        <v>13401</v>
      </c>
      <c r="F44" s="45">
        <f t="shared" si="9"/>
        <v>12682.5</v>
      </c>
      <c r="G44" s="45">
        <f t="shared" si="9"/>
        <v>14412</v>
      </c>
      <c r="H44" s="45">
        <f t="shared" si="9"/>
        <v>11238</v>
      </c>
      <c r="I44" s="45">
        <f t="shared" si="9"/>
        <v>12263</v>
      </c>
      <c r="J44" s="45">
        <f t="shared" si="9"/>
        <v>3047</v>
      </c>
      <c r="K44" s="45">
        <f t="shared" si="9"/>
        <v>2560</v>
      </c>
      <c r="L44" s="45">
        <f t="shared" si="9"/>
        <v>3520</v>
      </c>
      <c r="M44" s="45">
        <f t="shared" si="9"/>
        <v>2675</v>
      </c>
      <c r="N44" s="45" t="str">
        <f t="shared" si="9"/>
        <v/>
      </c>
      <c r="O44" s="45" t="str">
        <f t="shared" si="9"/>
        <v/>
      </c>
    </row>
    <row r="45" ht="15.75" customHeight="1">
      <c r="A45" s="27"/>
      <c r="H45" s="1"/>
    </row>
    <row r="46" ht="15.75" customHeight="1">
      <c r="A46" s="25">
        <v>7.0</v>
      </c>
      <c r="B46" s="11" t="s">
        <v>70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0" t="s">
        <v>49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27"/>
      <c r="B47" s="16" t="s">
        <v>71</v>
      </c>
      <c r="C47" s="16"/>
      <c r="D47" s="16">
        <v>5.0</v>
      </c>
      <c r="E47" s="16">
        <v>3.0</v>
      </c>
      <c r="F47" s="16">
        <v>5.0</v>
      </c>
      <c r="G47" s="16">
        <v>4.0</v>
      </c>
      <c r="H47" s="16">
        <v>2.0</v>
      </c>
      <c r="I47" s="46">
        <v>1.0</v>
      </c>
      <c r="J47" s="46">
        <v>1.0</v>
      </c>
      <c r="K47" s="16"/>
      <c r="L47" s="16"/>
      <c r="M47" s="16"/>
      <c r="N47" s="16"/>
      <c r="O47" s="16"/>
    </row>
    <row r="48" ht="15.75" customHeight="1">
      <c r="A48" s="27"/>
      <c r="H48" s="1"/>
    </row>
    <row r="49" ht="15.75" customHeight="1">
      <c r="A49" s="25">
        <v>8.0</v>
      </c>
      <c r="B49" s="10" t="s">
        <v>72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27"/>
      <c r="B50" s="1" t="s">
        <v>73</v>
      </c>
      <c r="D50" s="1">
        <v>1.0</v>
      </c>
      <c r="F50" s="1">
        <v>1.0</v>
      </c>
      <c r="H50" s="1"/>
    </row>
    <row r="51" ht="15.75" customHeight="1">
      <c r="A51" s="27"/>
      <c r="B51" s="1" t="s">
        <v>74</v>
      </c>
      <c r="F51" s="1">
        <v>1.0</v>
      </c>
      <c r="H51" s="1"/>
    </row>
    <row r="52" ht="15.75" customHeight="1">
      <c r="A52" s="27"/>
      <c r="B52" s="1" t="s">
        <v>75</v>
      </c>
      <c r="D52" s="1">
        <v>1.0</v>
      </c>
      <c r="E52" s="1">
        <v>3.0</v>
      </c>
      <c r="F52" s="1">
        <v>1.0</v>
      </c>
      <c r="H52" s="1"/>
    </row>
    <row r="53" ht="15.75" customHeight="1">
      <c r="A53" s="27"/>
      <c r="B53" s="1" t="s">
        <v>76</v>
      </c>
      <c r="D53" s="1">
        <v>1.0</v>
      </c>
      <c r="F53" s="1">
        <v>1.0</v>
      </c>
      <c r="H53" s="1"/>
    </row>
    <row r="54" ht="15.75" customHeight="1">
      <c r="A54" s="27"/>
      <c r="B54" s="1" t="s">
        <v>77</v>
      </c>
      <c r="D54" s="1">
        <v>1.0</v>
      </c>
      <c r="H54" s="1"/>
    </row>
    <row r="55" ht="15.75" customHeight="1">
      <c r="A55" s="27"/>
      <c r="B55" s="1" t="s">
        <v>78</v>
      </c>
      <c r="D55" s="1">
        <v>2.0</v>
      </c>
      <c r="E55" s="1">
        <v>1.0</v>
      </c>
      <c r="F55" s="1">
        <v>1.0</v>
      </c>
      <c r="H55" s="1"/>
    </row>
    <row r="56" ht="15.75" customHeight="1">
      <c r="A56" s="27"/>
      <c r="B56" s="1" t="s">
        <v>79</v>
      </c>
      <c r="D56" s="1">
        <v>2.0</v>
      </c>
      <c r="E56" s="1">
        <v>2.0</v>
      </c>
      <c r="F56" s="1">
        <v>1.0</v>
      </c>
      <c r="H56" s="1"/>
    </row>
    <row r="57" ht="15.75" customHeight="1">
      <c r="A57" s="27"/>
      <c r="B57" s="1" t="s">
        <v>80</v>
      </c>
      <c r="E57" s="1">
        <v>2.0</v>
      </c>
      <c r="F57" s="1">
        <v>1.0</v>
      </c>
      <c r="H57" s="1"/>
    </row>
    <row r="58" ht="15.75" customHeight="1">
      <c r="A58" s="27"/>
      <c r="B58" s="1" t="s">
        <v>81</v>
      </c>
      <c r="F58" s="1">
        <v>1.0</v>
      </c>
      <c r="H58" s="1"/>
    </row>
    <row r="59" ht="15.75" customHeight="1">
      <c r="A59" s="27"/>
      <c r="B59" s="1" t="s">
        <v>82</v>
      </c>
      <c r="F59" s="1">
        <v>1.0</v>
      </c>
      <c r="H59" s="1"/>
    </row>
    <row r="60" ht="15.75" customHeight="1">
      <c r="A60" s="25"/>
      <c r="B60" s="16" t="s">
        <v>83</v>
      </c>
      <c r="C60" s="16"/>
      <c r="D60" s="16">
        <f>SUM(D50:D59)</f>
        <v>8</v>
      </c>
      <c r="E60" s="16">
        <f>SUM(E52:E59)</f>
        <v>8</v>
      </c>
      <c r="F60" s="16">
        <f>SUM(F50:F59)</f>
        <v>9</v>
      </c>
      <c r="G60" s="16"/>
      <c r="H60" s="16"/>
      <c r="I60" s="16"/>
      <c r="J60" s="16"/>
      <c r="K60" s="16"/>
      <c r="L60" s="16"/>
      <c r="M60" s="16"/>
      <c r="N60" s="16"/>
      <c r="O60" s="16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27"/>
      <c r="H61" s="1"/>
    </row>
    <row r="62" ht="15.75" customHeight="1">
      <c r="A62" s="27"/>
      <c r="H62" s="1"/>
    </row>
    <row r="63" ht="15.75" customHeight="1">
      <c r="A63" s="27"/>
      <c r="H63" s="1"/>
    </row>
    <row r="64" ht="15.75" customHeight="1">
      <c r="A64" s="27"/>
      <c r="H64" s="1"/>
    </row>
    <row r="65" ht="15.75" customHeight="1">
      <c r="A65" s="27"/>
      <c r="H65" s="1"/>
    </row>
    <row r="66" ht="15.75" customHeight="1">
      <c r="A66" s="27"/>
      <c r="H66" s="1"/>
    </row>
    <row r="67" ht="15.75" customHeight="1">
      <c r="A67" s="27"/>
      <c r="H67" s="1"/>
    </row>
    <row r="68" ht="15.75" customHeight="1">
      <c r="A68" s="27"/>
      <c r="H68" s="1"/>
    </row>
    <row r="69" ht="15.75" customHeight="1">
      <c r="A69" s="27"/>
      <c r="H69" s="1"/>
    </row>
    <row r="70" ht="15.75" customHeight="1">
      <c r="A70" s="27"/>
      <c r="H70" s="1"/>
    </row>
    <row r="71" ht="15.75" customHeight="1">
      <c r="A71" s="27"/>
      <c r="H71" s="1"/>
    </row>
    <row r="72" ht="15.75" customHeight="1">
      <c r="A72" s="27"/>
      <c r="H72" s="1"/>
    </row>
    <row r="73" ht="15.75" customHeight="1">
      <c r="A73" s="27"/>
      <c r="H73" s="1"/>
    </row>
    <row r="74" ht="15.75" customHeight="1">
      <c r="A74" s="27"/>
      <c r="H74" s="1"/>
    </row>
    <row r="75" ht="15.75" customHeight="1">
      <c r="A75" s="27"/>
      <c r="H75" s="1"/>
    </row>
    <row r="76" ht="15.75" customHeight="1">
      <c r="A76" s="27"/>
      <c r="H76" s="1"/>
    </row>
    <row r="77" ht="15.75" customHeight="1">
      <c r="A77" s="27"/>
      <c r="H77" s="1"/>
    </row>
    <row r="78" ht="15.75" customHeight="1">
      <c r="A78" s="27"/>
      <c r="H78" s="1"/>
    </row>
    <row r="79" ht="15.75" customHeight="1">
      <c r="A79" s="27"/>
      <c r="H79" s="1"/>
    </row>
    <row r="80" ht="15.75" customHeight="1">
      <c r="A80" s="27"/>
      <c r="H80" s="1"/>
    </row>
    <row r="81" ht="15.75" customHeight="1">
      <c r="A81" s="27"/>
      <c r="H81" s="1"/>
    </row>
    <row r="82" ht="15.75" customHeight="1">
      <c r="A82" s="27"/>
      <c r="H82" s="1"/>
    </row>
    <row r="83" ht="15.75" customHeight="1">
      <c r="A83" s="27"/>
      <c r="H83" s="1"/>
    </row>
    <row r="84" ht="15.75" customHeight="1">
      <c r="A84" s="27"/>
      <c r="H84" s="1"/>
    </row>
    <row r="85" ht="15.75" customHeight="1">
      <c r="A85" s="27"/>
      <c r="H85" s="1"/>
    </row>
    <row r="86" ht="15.75" customHeight="1">
      <c r="A86" s="27"/>
      <c r="H86" s="1"/>
    </row>
    <row r="87" ht="15.75" customHeight="1">
      <c r="A87" s="27"/>
      <c r="H87" s="1"/>
    </row>
    <row r="88" ht="15.75" customHeight="1">
      <c r="A88" s="27"/>
      <c r="H88" s="1"/>
    </row>
    <row r="89" ht="15.75" customHeight="1">
      <c r="A89" s="27"/>
      <c r="H89" s="1"/>
    </row>
    <row r="90" ht="15.75" customHeight="1">
      <c r="A90" s="27"/>
      <c r="H90" s="1"/>
    </row>
    <row r="91" ht="15.75" customHeight="1">
      <c r="A91" s="27"/>
      <c r="H91" s="1"/>
    </row>
    <row r="92" ht="15.75" customHeight="1">
      <c r="A92" s="27"/>
      <c r="H92" s="1"/>
    </row>
    <row r="93" ht="15.75" customHeight="1">
      <c r="A93" s="27"/>
      <c r="H93" s="1"/>
    </row>
    <row r="94" ht="15.75" customHeight="1">
      <c r="A94" s="27"/>
      <c r="H94" s="1"/>
    </row>
    <row r="95" ht="15.75" customHeight="1">
      <c r="A95" s="27"/>
      <c r="H95" s="1"/>
    </row>
    <row r="96" ht="15.75" customHeight="1">
      <c r="A96" s="27"/>
      <c r="H96" s="1"/>
    </row>
    <row r="97" ht="15.75" customHeight="1">
      <c r="A97" s="27"/>
      <c r="H97" s="1"/>
    </row>
    <row r="98" ht="15.75" customHeight="1">
      <c r="A98" s="27"/>
      <c r="H98" s="1"/>
    </row>
    <row r="99" ht="15.75" customHeight="1">
      <c r="A99" s="27"/>
      <c r="H99" s="1"/>
    </row>
    <row r="100" ht="15.75" customHeight="1">
      <c r="A100" s="27"/>
      <c r="H100" s="1"/>
    </row>
    <row r="101" ht="15.75" customHeight="1">
      <c r="A101" s="27"/>
      <c r="H101" s="1"/>
    </row>
    <row r="102" ht="15.75" customHeight="1">
      <c r="A102" s="27"/>
      <c r="H102" s="1"/>
    </row>
    <row r="103" ht="15.75" customHeight="1">
      <c r="A103" s="27"/>
      <c r="H103" s="1"/>
    </row>
    <row r="104" ht="15.75" customHeight="1">
      <c r="A104" s="27"/>
      <c r="H104" s="1"/>
    </row>
    <row r="105" ht="15.75" customHeight="1">
      <c r="A105" s="27"/>
      <c r="H105" s="1"/>
    </row>
    <row r="106" ht="15.75" customHeight="1">
      <c r="A106" s="27"/>
      <c r="H106" s="1"/>
    </row>
    <row r="107" ht="15.75" customHeight="1">
      <c r="A107" s="27"/>
      <c r="H107" s="1"/>
    </row>
    <row r="108" ht="15.75" customHeight="1">
      <c r="A108" s="27"/>
      <c r="H108" s="1"/>
    </row>
    <row r="109" ht="15.75" customHeight="1">
      <c r="A109" s="27"/>
      <c r="H109" s="1"/>
    </row>
    <row r="110" ht="15.75" customHeight="1">
      <c r="A110" s="27"/>
      <c r="H110" s="1"/>
    </row>
    <row r="111" ht="15.75" customHeight="1">
      <c r="A111" s="27"/>
      <c r="H111" s="1"/>
    </row>
    <row r="112" ht="15.75" customHeight="1">
      <c r="A112" s="27"/>
      <c r="H112" s="1"/>
    </row>
    <row r="113" ht="15.75" customHeight="1">
      <c r="A113" s="27"/>
      <c r="H113" s="1"/>
    </row>
    <row r="114" ht="15.75" customHeight="1">
      <c r="A114" s="27"/>
      <c r="H114" s="1"/>
    </row>
    <row r="115" ht="15.75" customHeight="1">
      <c r="A115" s="27"/>
      <c r="H115" s="1"/>
    </row>
    <row r="116" ht="15.75" customHeight="1">
      <c r="A116" s="27"/>
      <c r="H116" s="1"/>
    </row>
    <row r="117" ht="15.75" customHeight="1">
      <c r="A117" s="27"/>
      <c r="H117" s="1"/>
    </row>
    <row r="118" ht="15.75" customHeight="1">
      <c r="A118" s="27"/>
      <c r="H118" s="1"/>
    </row>
    <row r="119" ht="15.75" customHeight="1">
      <c r="A119" s="27"/>
      <c r="H119" s="1"/>
    </row>
    <row r="120" ht="15.75" customHeight="1">
      <c r="A120" s="27"/>
      <c r="H120" s="1"/>
    </row>
    <row r="121" ht="15.75" customHeight="1">
      <c r="A121" s="27"/>
      <c r="H121" s="1"/>
    </row>
    <row r="122" ht="15.75" customHeight="1">
      <c r="A122" s="27"/>
      <c r="H122" s="1"/>
    </row>
    <row r="123" ht="15.75" customHeight="1">
      <c r="A123" s="27"/>
      <c r="H123" s="1"/>
    </row>
    <row r="124" ht="15.75" customHeight="1">
      <c r="A124" s="27"/>
      <c r="H124" s="1"/>
    </row>
    <row r="125" ht="15.75" customHeight="1">
      <c r="A125" s="27"/>
      <c r="H125" s="1"/>
    </row>
    <row r="126" ht="15.75" customHeight="1">
      <c r="A126" s="27"/>
      <c r="H126" s="1"/>
    </row>
    <row r="127" ht="15.75" customHeight="1">
      <c r="A127" s="27"/>
      <c r="H127" s="1"/>
    </row>
    <row r="128" ht="15.75" customHeight="1">
      <c r="A128" s="27"/>
      <c r="H128" s="1"/>
    </row>
    <row r="129" ht="15.75" customHeight="1">
      <c r="A129" s="27"/>
      <c r="H129" s="1"/>
    </row>
    <row r="130" ht="15.75" customHeight="1">
      <c r="A130" s="27"/>
      <c r="H130" s="1"/>
    </row>
    <row r="131" ht="15.75" customHeight="1">
      <c r="A131" s="27"/>
      <c r="H131" s="1"/>
    </row>
    <row r="132" ht="15.75" customHeight="1">
      <c r="A132" s="27"/>
      <c r="H132" s="1"/>
    </row>
    <row r="133" ht="15.75" customHeight="1">
      <c r="A133" s="27"/>
      <c r="H133" s="1"/>
    </row>
    <row r="134" ht="15.75" customHeight="1">
      <c r="A134" s="27"/>
      <c r="H134" s="1"/>
    </row>
    <row r="135" ht="15.75" customHeight="1">
      <c r="A135" s="27"/>
      <c r="H135" s="1"/>
    </row>
    <row r="136" ht="15.75" customHeight="1">
      <c r="A136" s="27"/>
      <c r="H136" s="1"/>
    </row>
    <row r="137" ht="15.75" customHeight="1">
      <c r="A137" s="27"/>
      <c r="H137" s="1"/>
    </row>
    <row r="138" ht="15.75" customHeight="1">
      <c r="A138" s="27"/>
      <c r="H138" s="1"/>
    </row>
    <row r="139" ht="15.75" customHeight="1">
      <c r="A139" s="27"/>
      <c r="H139" s="1"/>
    </row>
    <row r="140" ht="15.75" customHeight="1">
      <c r="A140" s="27"/>
      <c r="H140" s="1"/>
    </row>
    <row r="141" ht="15.75" customHeight="1">
      <c r="A141" s="27"/>
      <c r="H141" s="1"/>
    </row>
    <row r="142" ht="15.75" customHeight="1">
      <c r="A142" s="27"/>
      <c r="H142" s="1"/>
    </row>
    <row r="143" ht="15.75" customHeight="1">
      <c r="A143" s="27"/>
      <c r="H143" s="1"/>
    </row>
    <row r="144" ht="15.75" customHeight="1">
      <c r="A144" s="27"/>
      <c r="H144" s="1"/>
    </row>
    <row r="145" ht="15.75" customHeight="1">
      <c r="A145" s="27"/>
      <c r="H145" s="1"/>
    </row>
    <row r="146" ht="15.75" customHeight="1">
      <c r="A146" s="27"/>
      <c r="H146" s="1"/>
    </row>
    <row r="147" ht="15.75" customHeight="1">
      <c r="A147" s="27"/>
      <c r="H147" s="1"/>
    </row>
    <row r="148" ht="15.75" customHeight="1">
      <c r="A148" s="27"/>
      <c r="H148" s="1"/>
    </row>
    <row r="149" ht="15.75" customHeight="1">
      <c r="A149" s="27"/>
      <c r="H149" s="1"/>
    </row>
    <row r="150" ht="15.75" customHeight="1">
      <c r="A150" s="27"/>
      <c r="H150" s="1"/>
    </row>
    <row r="151" ht="15.75" customHeight="1">
      <c r="A151" s="27"/>
      <c r="H151" s="1"/>
    </row>
    <row r="152" ht="15.75" customHeight="1">
      <c r="A152" s="27"/>
      <c r="H152" s="1"/>
    </row>
    <row r="153" ht="15.75" customHeight="1">
      <c r="A153" s="27"/>
      <c r="H153" s="1"/>
    </row>
    <row r="154" ht="15.75" customHeight="1">
      <c r="A154" s="27"/>
      <c r="H154" s="1"/>
    </row>
    <row r="155" ht="15.75" customHeight="1">
      <c r="A155" s="27"/>
      <c r="H155" s="1"/>
    </row>
    <row r="156" ht="15.75" customHeight="1">
      <c r="A156" s="27"/>
      <c r="H156" s="1"/>
    </row>
    <row r="157" ht="15.75" customHeight="1">
      <c r="A157" s="27"/>
      <c r="H157" s="1"/>
    </row>
    <row r="158" ht="15.75" customHeight="1">
      <c r="A158" s="27"/>
      <c r="H158" s="1"/>
    </row>
    <row r="159" ht="15.75" customHeight="1">
      <c r="A159" s="27"/>
      <c r="H159" s="1"/>
    </row>
    <row r="160" ht="15.75" customHeight="1">
      <c r="A160" s="27"/>
      <c r="H160" s="1"/>
    </row>
    <row r="161" ht="15.75" customHeight="1">
      <c r="A161" s="27"/>
      <c r="H161" s="1"/>
    </row>
    <row r="162" ht="15.75" customHeight="1">
      <c r="A162" s="27"/>
      <c r="H162" s="1"/>
    </row>
    <row r="163" ht="15.75" customHeight="1">
      <c r="A163" s="27"/>
      <c r="H163" s="1"/>
    </row>
    <row r="164" ht="15.75" customHeight="1">
      <c r="A164" s="27"/>
      <c r="H164" s="1"/>
    </row>
    <row r="165" ht="15.75" customHeight="1">
      <c r="A165" s="27"/>
      <c r="H165" s="1"/>
    </row>
    <row r="166" ht="15.75" customHeight="1">
      <c r="A166" s="27"/>
      <c r="H166" s="1"/>
    </row>
    <row r="167" ht="15.75" customHeight="1">
      <c r="A167" s="27"/>
      <c r="H167" s="1"/>
    </row>
    <row r="168" ht="15.75" customHeight="1">
      <c r="A168" s="27"/>
      <c r="H168" s="1"/>
    </row>
    <row r="169" ht="15.75" customHeight="1">
      <c r="A169" s="27"/>
      <c r="H169" s="1"/>
    </row>
    <row r="170" ht="15.75" customHeight="1">
      <c r="A170" s="27"/>
      <c r="H170" s="1"/>
    </row>
    <row r="171" ht="15.75" customHeight="1">
      <c r="A171" s="27"/>
      <c r="H171" s="1"/>
    </row>
    <row r="172" ht="15.75" customHeight="1">
      <c r="A172" s="27"/>
      <c r="H172" s="1"/>
    </row>
    <row r="173" ht="15.75" customHeight="1">
      <c r="A173" s="27"/>
      <c r="H173" s="1"/>
    </row>
    <row r="174" ht="15.75" customHeight="1">
      <c r="A174" s="27"/>
      <c r="H174" s="1"/>
    </row>
    <row r="175" ht="15.75" customHeight="1">
      <c r="A175" s="27"/>
      <c r="H175" s="1"/>
    </row>
    <row r="176" ht="15.75" customHeight="1">
      <c r="A176" s="27"/>
      <c r="H176" s="1"/>
    </row>
    <row r="177" ht="15.75" customHeight="1">
      <c r="A177" s="27"/>
      <c r="H177" s="1"/>
    </row>
    <row r="178" ht="15.75" customHeight="1">
      <c r="A178" s="27"/>
      <c r="H178" s="1"/>
    </row>
    <row r="179" ht="15.75" customHeight="1">
      <c r="A179" s="27"/>
      <c r="H179" s="1"/>
    </row>
    <row r="180" ht="15.75" customHeight="1">
      <c r="A180" s="27"/>
      <c r="H180" s="1"/>
    </row>
    <row r="181" ht="15.75" customHeight="1">
      <c r="A181" s="27"/>
      <c r="H181" s="1"/>
    </row>
    <row r="182" ht="15.75" customHeight="1">
      <c r="A182" s="27"/>
      <c r="H182" s="1"/>
    </row>
    <row r="183" ht="15.75" customHeight="1">
      <c r="A183" s="27"/>
      <c r="H183" s="1"/>
    </row>
    <row r="184" ht="15.75" customHeight="1">
      <c r="A184" s="27"/>
      <c r="H184" s="1"/>
    </row>
    <row r="185" ht="15.75" customHeight="1">
      <c r="A185" s="27"/>
      <c r="H185" s="1"/>
    </row>
    <row r="186" ht="15.75" customHeight="1">
      <c r="A186" s="27"/>
      <c r="H186" s="1"/>
    </row>
    <row r="187" ht="15.75" customHeight="1">
      <c r="A187" s="27"/>
      <c r="H187" s="1"/>
    </row>
    <row r="188" ht="15.75" customHeight="1">
      <c r="A188" s="27"/>
      <c r="H188" s="1"/>
    </row>
    <row r="189" ht="15.75" customHeight="1">
      <c r="A189" s="27"/>
      <c r="H189" s="1"/>
    </row>
    <row r="190" ht="15.75" customHeight="1">
      <c r="A190" s="27"/>
      <c r="H190" s="1"/>
    </row>
    <row r="191" ht="15.75" customHeight="1">
      <c r="A191" s="27"/>
      <c r="H191" s="1"/>
    </row>
    <row r="192" ht="15.75" customHeight="1">
      <c r="A192" s="27"/>
      <c r="H192" s="1"/>
    </row>
    <row r="193" ht="15.75" customHeight="1">
      <c r="A193" s="27"/>
      <c r="H193" s="1"/>
    </row>
    <row r="194" ht="15.75" customHeight="1">
      <c r="A194" s="27"/>
      <c r="H194" s="1"/>
    </row>
    <row r="195" ht="15.75" customHeight="1">
      <c r="A195" s="27"/>
      <c r="H195" s="1"/>
    </row>
    <row r="196" ht="15.75" customHeight="1">
      <c r="A196" s="27"/>
      <c r="H196" s="1"/>
    </row>
    <row r="197" ht="15.75" customHeight="1">
      <c r="A197" s="27"/>
      <c r="H197" s="1"/>
    </row>
    <row r="198" ht="15.75" customHeight="1">
      <c r="A198" s="27"/>
      <c r="H198" s="1"/>
    </row>
    <row r="199" ht="15.75" customHeight="1">
      <c r="A199" s="27"/>
      <c r="H199" s="1"/>
    </row>
    <row r="200" ht="15.75" customHeight="1">
      <c r="A200" s="27"/>
      <c r="H200" s="1"/>
    </row>
    <row r="201" ht="15.75" customHeight="1">
      <c r="A201" s="27"/>
      <c r="H201" s="1"/>
    </row>
    <row r="202" ht="15.75" customHeight="1">
      <c r="A202" s="27"/>
      <c r="H202" s="1"/>
    </row>
    <row r="203" ht="15.75" customHeight="1">
      <c r="A203" s="27"/>
      <c r="H203" s="1"/>
    </row>
    <row r="204" ht="15.75" customHeight="1">
      <c r="A204" s="27"/>
      <c r="H204" s="1"/>
    </row>
    <row r="205" ht="15.75" customHeight="1">
      <c r="A205" s="27"/>
      <c r="H205" s="1"/>
    </row>
    <row r="206" ht="15.75" customHeight="1">
      <c r="A206" s="27"/>
      <c r="H206" s="1"/>
    </row>
    <row r="207" ht="15.75" customHeight="1">
      <c r="A207" s="27"/>
      <c r="H207" s="1"/>
    </row>
    <row r="208" ht="15.75" customHeight="1">
      <c r="A208" s="27"/>
      <c r="H208" s="1"/>
    </row>
    <row r="209" ht="15.75" customHeight="1">
      <c r="A209" s="27"/>
      <c r="H209" s="1"/>
    </row>
    <row r="210" ht="15.75" customHeight="1">
      <c r="A210" s="27"/>
      <c r="H210" s="1"/>
    </row>
    <row r="211" ht="15.75" customHeight="1">
      <c r="A211" s="27"/>
      <c r="H211" s="1"/>
    </row>
    <row r="212" ht="15.75" customHeight="1">
      <c r="A212" s="27"/>
      <c r="H212" s="1"/>
    </row>
    <row r="213" ht="15.75" customHeight="1">
      <c r="A213" s="27"/>
      <c r="H213" s="1"/>
    </row>
    <row r="214" ht="15.75" customHeight="1">
      <c r="A214" s="27"/>
      <c r="H214" s="1"/>
    </row>
    <row r="215" ht="15.75" customHeight="1">
      <c r="A215" s="27"/>
      <c r="H215" s="1"/>
    </row>
    <row r="216" ht="15.75" customHeight="1">
      <c r="A216" s="27"/>
      <c r="H216" s="1"/>
    </row>
    <row r="217" ht="15.75" customHeight="1">
      <c r="A217" s="27"/>
      <c r="H217" s="1"/>
    </row>
    <row r="218" ht="15.75" customHeight="1">
      <c r="A218" s="27"/>
      <c r="H218" s="1"/>
    </row>
    <row r="219" ht="15.75" customHeight="1">
      <c r="A219" s="27"/>
      <c r="H219" s="1"/>
    </row>
    <row r="220" ht="15.75" customHeight="1">
      <c r="A220" s="27"/>
      <c r="H220" s="1"/>
    </row>
    <row r="221" ht="15.75" customHeight="1">
      <c r="A221" s="27"/>
      <c r="H221" s="1"/>
    </row>
    <row r="222" ht="15.75" customHeight="1">
      <c r="A222" s="27"/>
      <c r="H222" s="1"/>
    </row>
    <row r="223" ht="15.75" customHeight="1">
      <c r="A223" s="27"/>
      <c r="H223" s="1"/>
    </row>
    <row r="224" ht="15.75" customHeight="1">
      <c r="A224" s="27"/>
      <c r="H224" s="1"/>
    </row>
    <row r="225" ht="15.75" customHeight="1">
      <c r="A225" s="27"/>
      <c r="H225" s="1"/>
    </row>
    <row r="226" ht="15.75" customHeight="1">
      <c r="A226" s="27"/>
      <c r="H226" s="1"/>
    </row>
    <row r="227" ht="15.75" customHeight="1">
      <c r="A227" s="27"/>
      <c r="H227" s="1"/>
    </row>
    <row r="228" ht="15.75" customHeight="1">
      <c r="A228" s="27"/>
      <c r="H228" s="1"/>
    </row>
    <row r="229" ht="15.75" customHeight="1">
      <c r="A229" s="27"/>
      <c r="H229" s="1"/>
    </row>
    <row r="230" ht="15.75" customHeight="1">
      <c r="A230" s="27"/>
      <c r="H230" s="1"/>
    </row>
    <row r="231" ht="15.75" customHeight="1">
      <c r="A231" s="27"/>
      <c r="H231" s="1"/>
    </row>
    <row r="232" ht="15.75" customHeight="1">
      <c r="A232" s="27"/>
      <c r="H232" s="1"/>
    </row>
    <row r="233" ht="15.75" customHeight="1">
      <c r="A233" s="27"/>
      <c r="H233" s="1"/>
    </row>
    <row r="234" ht="15.75" customHeight="1">
      <c r="A234" s="27"/>
      <c r="H234" s="1"/>
    </row>
    <row r="235" ht="15.75" customHeight="1">
      <c r="A235" s="27"/>
      <c r="H235" s="1"/>
    </row>
    <row r="236" ht="15.75" customHeight="1">
      <c r="A236" s="27"/>
      <c r="H236" s="1"/>
    </row>
    <row r="237" ht="15.75" customHeight="1">
      <c r="A237" s="27"/>
      <c r="H237" s="1"/>
    </row>
    <row r="238" ht="15.75" customHeight="1">
      <c r="A238" s="27"/>
      <c r="H238" s="1"/>
    </row>
    <row r="239" ht="15.75" customHeight="1">
      <c r="A239" s="27"/>
      <c r="H239" s="1"/>
    </row>
    <row r="240" ht="15.75" customHeight="1">
      <c r="A240" s="27"/>
      <c r="H240" s="1"/>
    </row>
    <row r="241" ht="15.75" customHeight="1">
      <c r="A241" s="27"/>
      <c r="H241" s="1"/>
    </row>
    <row r="242" ht="15.75" customHeight="1">
      <c r="A242" s="27"/>
      <c r="H242" s="1"/>
    </row>
    <row r="243" ht="15.75" customHeight="1">
      <c r="A243" s="27"/>
      <c r="H243" s="1"/>
    </row>
    <row r="244" ht="15.75" customHeight="1">
      <c r="A244" s="27"/>
      <c r="H244" s="1"/>
    </row>
    <row r="245" ht="15.75" customHeight="1">
      <c r="A245" s="27"/>
      <c r="H245" s="1"/>
    </row>
    <row r="246" ht="15.75" customHeight="1">
      <c r="A246" s="27"/>
      <c r="H246" s="1"/>
    </row>
    <row r="247" ht="15.75" customHeight="1">
      <c r="A247" s="27"/>
      <c r="H247" s="1"/>
    </row>
    <row r="248" ht="15.75" customHeight="1">
      <c r="A248" s="27"/>
      <c r="H248" s="1"/>
    </row>
    <row r="249" ht="15.75" customHeight="1">
      <c r="A249" s="27"/>
      <c r="H249" s="1"/>
    </row>
    <row r="250" ht="15.75" customHeight="1">
      <c r="A250" s="27"/>
      <c r="H250" s="1"/>
    </row>
    <row r="251" ht="15.75" customHeight="1">
      <c r="A251" s="27"/>
      <c r="H251" s="1"/>
    </row>
    <row r="252" ht="15.75" customHeight="1">
      <c r="A252" s="27"/>
      <c r="H252" s="1"/>
    </row>
    <row r="253" ht="15.75" customHeight="1">
      <c r="A253" s="27"/>
      <c r="H253" s="1"/>
    </row>
    <row r="254" ht="15.75" customHeight="1">
      <c r="A254" s="27"/>
      <c r="H254" s="1"/>
    </row>
    <row r="255" ht="15.75" customHeight="1">
      <c r="A255" s="27"/>
      <c r="H255" s="1"/>
    </row>
    <row r="256" ht="15.75" customHeight="1">
      <c r="A256" s="27"/>
      <c r="H256" s="1"/>
    </row>
    <row r="257" ht="15.75" customHeight="1">
      <c r="A257" s="27"/>
      <c r="H257" s="1"/>
    </row>
    <row r="258" ht="15.75" customHeight="1">
      <c r="A258" s="27"/>
      <c r="H258" s="1"/>
    </row>
    <row r="259" ht="15.75" customHeight="1">
      <c r="A259" s="27"/>
      <c r="H259" s="1"/>
    </row>
    <row r="260" ht="15.75" customHeight="1">
      <c r="A260" s="27"/>
      <c r="H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2025-02-01T09:42:08Z</dcterms:created>
  <dc:creator>Arindam Das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{3BE2532D-1B2A-4F17-896A-7459FFB8802D}</vt:lpwstr>
  </property>
</Properties>
</file>