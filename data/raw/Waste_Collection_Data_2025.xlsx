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March2025" sheetId="2" r:id="rId5"/>
    <sheet state="visible" name="Apr2025" sheetId="3" r:id="rId6"/>
    <sheet state="visible" name="May2025" sheetId="4" r:id="rId7"/>
    <sheet state="visible" name="Jun2025" sheetId="5" r:id="rId8"/>
    <sheet state="visible" name="July2025" sheetId="6" r:id="rId9"/>
    <sheet state="visible" name="Aug2025" sheetId="7" r:id="rId10"/>
    <sheet state="visible" name="Sept2025" sheetId="8" r:id="rId11"/>
    <sheet state="visible" name="Oct-2025" sheetId="9" r:id="rId12"/>
    <sheet state="visible" name="NOv 2025" sheetId="10" r:id="rId13"/>
    <sheet state="visible" name="Dec2025" sheetId="11" r:id="rId14"/>
  </sheets>
  <definedNames/>
  <calcPr/>
  <extLst>
    <ext uri="GoogleSheetsCustomDataVersion2">
      <go:sheetsCustomData xmlns:go="http://customooxmlschemas.google.com/" r:id="rId15" roundtripDataChecksum="Jy+9UEpU5vOg9MrjtlAA+l7SYx1CkSvnYmAF1BoYc6g="/>
    </ext>
  </extLst>
</workbook>
</file>

<file path=xl/sharedStrings.xml><?xml version="1.0" encoding="utf-8"?>
<sst xmlns="http://schemas.openxmlformats.org/spreadsheetml/2006/main" count="4630" uniqueCount="54">
  <si>
    <t>Waste Collection Summary – Monthwise (2025)</t>
  </si>
  <si>
    <t>Month</t>
  </si>
  <si>
    <t>Wet Waste (kg)</t>
  </si>
  <si>
    <t>Dry Waste (kg)</t>
  </si>
  <si>
    <t>March</t>
  </si>
  <si>
    <t>April</t>
  </si>
  <si>
    <t>May</t>
  </si>
  <si>
    <t>June</t>
  </si>
  <si>
    <t>July</t>
  </si>
  <si>
    <t xml:space="preserve">August </t>
  </si>
  <si>
    <t>Sept</t>
  </si>
  <si>
    <t>Oct</t>
  </si>
  <si>
    <t>Nov</t>
  </si>
  <si>
    <t>Dec</t>
  </si>
  <si>
    <t>Waste type</t>
  </si>
  <si>
    <t xml:space="preserve"> A&amp;B Block</t>
  </si>
  <si>
    <t xml:space="preserve">C&amp;D Block </t>
  </si>
  <si>
    <t>L H Hostel</t>
  </si>
  <si>
    <t xml:space="preserve">Hostel no -25 </t>
  </si>
  <si>
    <t>Hostel no -26</t>
  </si>
  <si>
    <t>Hostel no -27</t>
  </si>
  <si>
    <t>Hostel no -28</t>
  </si>
  <si>
    <t>Hostel no -29</t>
  </si>
  <si>
    <t>Hostel no -30</t>
  </si>
  <si>
    <t>cantean</t>
  </si>
  <si>
    <t>MESS</t>
  </si>
  <si>
    <t>Wet waste</t>
  </si>
  <si>
    <t>Dry waste</t>
  </si>
  <si>
    <t>TOTAL (Kg)</t>
  </si>
  <si>
    <t>A&amp;B Block</t>
  </si>
  <si>
    <t>C&amp;D Block</t>
  </si>
  <si>
    <t>Hostel no -25</t>
  </si>
  <si>
    <t>Total wet</t>
  </si>
  <si>
    <t>Total Dry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</si>
  <si>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</si>
  <si>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</si>
  <si>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</si>
  <si>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</si>
  <si>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</si>
  <si>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</si>
  <si>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</si>
  <si>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</si>
  <si>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</si>
  <si>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</si>
  <si>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</si>
  <si>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</si>
  <si>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</si>
  <si>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</si>
  <si>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</si>
  <si>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</si>
  <si>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</si>
  <si>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</si>
  <si>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</si>
  <si>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Bistro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</si>
</sst>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m-yy"/>
    <numFmt numFmtId="165" formatCode="d-mmm-yy"/>
    <numFmt numFmtId="166" formatCode="mm-dd-yyyy"/>
  </numFmts>
  <fonts count="24">
    <font>
      <sz val="11.0"/>
      <color theme="1"/>
      <name val="Aptos Narrow"/>
      <scheme val="minor"/>
    </font>
    <font>
      <sz val="12.0"/>
      <color theme="1"/>
      <name val="Arial"/>
    </font>
    <font>
      <color theme="1"/>
      <name val="Aptos Narrow"/>
      <scheme val="minor"/>
    </font>
    <font>
      <b/>
      <color theme="1"/>
      <name val="Arial"/>
    </font>
    <font>
      <b/>
      <color theme="1"/>
      <name val="Aptos Narrow"/>
      <scheme val="minor"/>
    </font>
    <font>
      <color theme="1"/>
      <name val="Arial"/>
    </font>
    <font>
      <b/>
      <sz val="11.0"/>
      <color theme="1"/>
      <name val="Arial"/>
    </font>
    <font>
      <sz val="11.0"/>
      <color theme="1"/>
      <name val="Aptos Narrow"/>
    </font>
    <font>
      <b/>
      <sz val="11.0"/>
      <color theme="1"/>
      <name val="Aptos Narrow"/>
    </font>
    <font>
      <sz val="11.0"/>
      <color theme="1"/>
      <name val="Arial"/>
    </font>
    <font>
      <b/>
      <sz val="11.0"/>
      <color rgb="FFFF0000"/>
      <name val="Aptos Narrow"/>
    </font>
    <font>
      <b/>
      <color rgb="FFFF0000"/>
      <name val="Aptos Narrow"/>
      <scheme val="minor"/>
    </font>
    <font>
      <color rgb="FFFF0000"/>
      <name val="Aptos Narrow"/>
      <scheme val="minor"/>
    </font>
    <font>
      <b/>
      <sz val="11.0"/>
      <color rgb="FF000000"/>
      <name val="Arial"/>
    </font>
    <font>
      <sz val="11.0"/>
      <color rgb="FF000000"/>
      <name val="&quot;Aptos Narrow&quot;"/>
    </font>
    <font>
      <b/>
      <sz val="11.0"/>
      <color rgb="FF000000"/>
      <name val="&quot;Aptos Narrow&quot;"/>
    </font>
    <font>
      <sz val="11.0"/>
      <color rgb="FF000000"/>
      <name val="Arial"/>
    </font>
    <font>
      <b/>
      <sz val="11.0"/>
      <color rgb="FFFF0000"/>
      <name val="&quot;Aptos Narrow&quot;"/>
    </font>
    <font>
      <b/>
      <sz val="11.0"/>
      <color rgb="FFFF0000"/>
      <name val="Arial"/>
    </font>
    <font>
      <sz val="11.0"/>
      <color rgb="FFFF0000"/>
      <name val="&quot;Aptos Narrow&quot;"/>
    </font>
    <font>
      <color rgb="FF000000"/>
      <name val="Aptos Narrow"/>
      <scheme val="minor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left" readingOrder="0"/>
    </xf>
    <xf borderId="1" fillId="2" fontId="3" numFmtId="0" xfId="0" applyAlignment="1" applyBorder="1" applyFont="1">
      <alignment horizontal="center" readingOrder="0"/>
    </xf>
    <xf borderId="0" fillId="0" fontId="4" numFmtId="0" xfId="0" applyFont="1"/>
    <xf borderId="1" fillId="0" fontId="5" numFmtId="0" xfId="0" applyAlignment="1" applyBorder="1" applyFont="1">
      <alignment readingOrder="0"/>
    </xf>
    <xf borderId="1" fillId="0" fontId="5" numFmtId="4" xfId="0" applyAlignment="1" applyBorder="1" applyFont="1" applyNumberFormat="1">
      <alignment readingOrder="0"/>
    </xf>
    <xf borderId="1" fillId="0" fontId="2" numFmtId="0" xfId="0" applyBorder="1" applyFont="1"/>
    <xf borderId="1" fillId="0" fontId="2" numFmtId="4" xfId="0" applyBorder="1" applyFont="1" applyNumberFormat="1"/>
    <xf borderId="1" fillId="0" fontId="5" numFmtId="4" xfId="0" applyAlignment="1" applyBorder="1" applyFont="1" applyNumberFormat="1">
      <alignment horizontal="right" readingOrder="0"/>
    </xf>
    <xf borderId="1" fillId="3" fontId="6" numFmtId="164" xfId="0" applyAlignment="1" applyBorder="1" applyFill="1" applyFont="1" applyNumberFormat="1">
      <alignment horizontal="center" readingOrder="0"/>
    </xf>
    <xf borderId="0" fillId="0" fontId="7" numFmtId="0" xfId="0" applyAlignment="1" applyFont="1">
      <alignment horizontal="center"/>
    </xf>
    <xf borderId="1" fillId="0" fontId="8" numFmtId="0" xfId="0" applyAlignment="1" applyBorder="1" applyFont="1">
      <alignment horizontal="center"/>
    </xf>
    <xf borderId="2" fillId="0" fontId="8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" fillId="0" fontId="9" numFmtId="0" xfId="0" applyAlignment="1" applyBorder="1" applyFont="1">
      <alignment horizontal="center" readingOrder="0"/>
    </xf>
    <xf borderId="0" fillId="0" fontId="2" numFmtId="0" xfId="0" applyFont="1"/>
    <xf borderId="1" fillId="0" fontId="10" numFmtId="0" xfId="0" applyAlignment="1" applyBorder="1" applyFont="1">
      <alignment horizontal="center"/>
    </xf>
    <xf borderId="0" fillId="0" fontId="11" numFmtId="0" xfId="0" applyFont="1"/>
    <xf borderId="0" fillId="0" fontId="12" numFmtId="0" xfId="0" applyFont="1"/>
    <xf borderId="0" fillId="0" fontId="5" numFmtId="0" xfId="0" applyAlignment="1" applyFont="1">
      <alignment readingOrder="0"/>
    </xf>
    <xf borderId="0" fillId="4" fontId="6" numFmtId="0" xfId="0" applyAlignment="1" applyFill="1" applyFont="1">
      <alignment horizontal="center" readingOrder="0"/>
    </xf>
    <xf borderId="0" fillId="4" fontId="7" numFmtId="0" xfId="0" applyAlignment="1" applyFont="1">
      <alignment horizontal="center"/>
    </xf>
    <xf borderId="0" fillId="4" fontId="2" numFmtId="0" xfId="0" applyFont="1"/>
    <xf borderId="2" fillId="0" fontId="7" numFmtId="0" xfId="0" applyAlignment="1" applyBorder="1" applyFont="1">
      <alignment horizontal="center"/>
    </xf>
    <xf borderId="3" fillId="0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4" fillId="3" fontId="13" numFmtId="164" xfId="0" applyAlignment="1" applyBorder="1" applyFont="1" applyNumberFormat="1">
      <alignment horizontal="center" readingOrder="0" shrinkToFit="0" vertical="bottom" wrapText="0"/>
    </xf>
    <xf borderId="0" fillId="0" fontId="14" numFmtId="0" xfId="0" applyAlignment="1" applyFont="1">
      <alignment horizontal="center" shrinkToFit="0" vertical="bottom" wrapText="0"/>
    </xf>
    <xf borderId="1" fillId="0" fontId="15" numFmtId="0" xfId="0" applyAlignment="1" applyBorder="1" applyFont="1">
      <alignment horizontal="center" readingOrder="0" shrinkToFit="0" vertical="bottom" wrapText="0"/>
    </xf>
    <xf borderId="5" fillId="0" fontId="14" numFmtId="0" xfId="0" applyAlignment="1" applyBorder="1" applyFont="1">
      <alignment horizontal="center" readingOrder="0" shrinkToFit="0" vertical="bottom" wrapText="0"/>
    </xf>
    <xf borderId="1" fillId="0" fontId="14" numFmtId="0" xfId="0" applyAlignment="1" applyBorder="1" applyFont="1">
      <alignment horizontal="center" readingOrder="0" shrinkToFit="0" vertical="bottom" wrapText="0"/>
    </xf>
    <xf borderId="1" fillId="0" fontId="16" numFmtId="0" xfId="0" applyAlignment="1" applyBorder="1" applyFont="1">
      <alignment horizontal="center" readingOrder="0" shrinkToFit="0" vertical="bottom" wrapText="0"/>
    </xf>
    <xf borderId="1" fillId="0" fontId="17" numFmtId="0" xfId="0" applyAlignment="1" applyBorder="1" applyFont="1">
      <alignment horizontal="center" readingOrder="0" shrinkToFit="0" vertical="bottom" wrapText="0"/>
    </xf>
    <xf borderId="1" fillId="3" fontId="13" numFmtId="164" xfId="0" applyAlignment="1" applyBorder="1" applyFont="1" applyNumberFormat="1">
      <alignment horizontal="center" readingOrder="0" shrinkToFit="0" vertical="bottom" wrapText="0"/>
    </xf>
    <xf borderId="0" fillId="0" fontId="14" numFmtId="0" xfId="0" applyAlignment="1" applyFont="1">
      <alignment horizontal="center" readingOrder="0" shrinkToFit="0" vertical="bottom" wrapText="0"/>
    </xf>
    <xf borderId="1" fillId="3" fontId="13" numFmtId="165" xfId="0" applyAlignment="1" applyBorder="1" applyFont="1" applyNumberFormat="1">
      <alignment horizontal="center" readingOrder="0" shrinkToFit="0" vertical="bottom" wrapText="0"/>
    </xf>
    <xf borderId="0" fillId="5" fontId="5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0" fillId="6" fontId="2" numFmtId="0" xfId="0" applyFont="1"/>
    <xf borderId="0" fillId="0" fontId="14" numFmtId="0" xfId="0" applyAlignment="1" applyFont="1">
      <alignment horizontal="center" shrinkToFit="0" vertical="bottom" wrapText="0"/>
    </xf>
    <xf borderId="0" fillId="0" fontId="14" numFmtId="0" xfId="0" applyAlignment="1" applyFont="1">
      <alignment shrinkToFit="0" vertical="bottom" wrapText="0"/>
    </xf>
    <xf borderId="2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vertical="bottom"/>
    </xf>
    <xf borderId="1" fillId="0" fontId="18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horizontal="center" vertical="bottom"/>
    </xf>
    <xf borderId="0" fillId="0" fontId="19" numFmtId="0" xfId="0" applyAlignment="1" applyFont="1">
      <alignment shrinkToFit="0" vertical="bottom" wrapText="0"/>
    </xf>
    <xf borderId="0" fillId="0" fontId="19" numFmtId="0" xfId="0" applyAlignment="1" applyFont="1">
      <alignment horizontal="center" shrinkToFit="0" vertical="bottom" wrapText="0"/>
    </xf>
    <xf borderId="0" fillId="0" fontId="7" numFmtId="0" xfId="0" applyAlignment="1" applyFont="1">
      <alignment vertical="bottom"/>
    </xf>
    <xf borderId="0" fillId="0" fontId="17" numFmtId="0" xfId="0" applyAlignment="1" applyFont="1">
      <alignment shrinkToFit="0" vertical="bottom" wrapText="0"/>
    </xf>
    <xf borderId="0" fillId="0" fontId="16" numFmtId="0" xfId="0" applyAlignment="1" applyFont="1">
      <alignment horizontal="center" readingOrder="0" shrinkToFit="0" vertical="bottom" wrapText="0"/>
    </xf>
    <xf borderId="0" fillId="0" fontId="10" numFmtId="0" xfId="0" applyFont="1"/>
    <xf borderId="0" fillId="4" fontId="7" numFmtId="0" xfId="0" applyAlignment="1" applyFont="1">
      <alignment vertical="bottom"/>
    </xf>
    <xf borderId="1" fillId="0" fontId="7" numFmtId="0" xfId="0" applyAlignment="1" applyBorder="1" applyFont="1">
      <alignment horizontal="center" vertical="bottom"/>
    </xf>
    <xf borderId="5" fillId="0" fontId="15" numFmtId="0" xfId="0" applyAlignment="1" applyBorder="1" applyFont="1">
      <alignment horizontal="center" readingOrder="0" shrinkToFit="0" vertical="bottom" wrapText="0"/>
    </xf>
    <xf borderId="1" fillId="4" fontId="14" numFmtId="0" xfId="0" applyAlignment="1" applyBorder="1" applyFont="1">
      <alignment horizontal="center" readingOrder="0" shrinkToFit="0" vertical="bottom" wrapText="0"/>
    </xf>
    <xf borderId="1" fillId="0" fontId="14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vertical="bottom"/>
    </xf>
    <xf borderId="1" fillId="0" fontId="9" numFmtId="0" xfId="0" applyAlignment="1" applyBorder="1" applyFont="1">
      <alignment readingOrder="0" vertical="bottom"/>
    </xf>
    <xf borderId="0" fillId="0" fontId="15" numFmtId="0" xfId="0" applyAlignment="1" applyFont="1">
      <alignment horizontal="center" readingOrder="0" shrinkToFit="0" vertical="bottom" wrapText="0"/>
    </xf>
    <xf borderId="0" fillId="5" fontId="2" numFmtId="0" xfId="0" applyFont="1"/>
    <xf borderId="1" fillId="3" fontId="6" numFmtId="165" xfId="0" applyAlignment="1" applyBorder="1" applyFont="1" applyNumberFormat="1">
      <alignment horizontal="center" readingOrder="0"/>
    </xf>
    <xf borderId="6" fillId="3" fontId="6" numFmtId="165" xfId="0" applyAlignment="1" applyBorder="1" applyFont="1" applyNumberFormat="1">
      <alignment horizontal="center" readingOrder="0"/>
    </xf>
    <xf borderId="4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3" fillId="3" fontId="13" numFmtId="166" xfId="0" applyAlignment="1" applyBorder="1" applyFont="1" applyNumberFormat="1">
      <alignment horizontal="center" readingOrder="0" shrinkToFit="0" vertical="bottom" wrapText="0"/>
    </xf>
    <xf borderId="3" fillId="3" fontId="15" numFmtId="166" xfId="0" applyAlignment="1" applyBorder="1" applyFont="1" applyNumberFormat="1">
      <alignment horizontal="center" readingOrder="0" shrinkToFit="0" vertical="bottom" wrapText="0"/>
    </xf>
    <xf borderId="1" fillId="3" fontId="15" numFmtId="166" xfId="0" applyAlignment="1" applyBorder="1" applyFont="1" applyNumberFormat="1">
      <alignment horizontal="center" readingOrder="0" shrinkToFit="0" vertical="bottom" wrapText="0"/>
    </xf>
    <xf borderId="1" fillId="3" fontId="13" numFmtId="166" xfId="0" applyAlignment="1" applyBorder="1" applyFont="1" applyNumberFormat="1">
      <alignment horizontal="center" readingOrder="0" shrinkToFit="0" vertical="bottom" wrapText="0"/>
    </xf>
    <xf borderId="1" fillId="3" fontId="15" numFmtId="0" xfId="0" applyAlignment="1" applyBorder="1" applyFont="1">
      <alignment horizontal="center" readingOrder="0" shrinkToFit="0" vertical="bottom" wrapText="0"/>
    </xf>
    <xf borderId="1" fillId="3" fontId="13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0" fillId="0" fontId="20" numFmtId="0" xfId="0" applyFont="1"/>
    <xf borderId="1" fillId="0" fontId="16" numFmtId="3" xfId="0" applyAlignment="1" applyBorder="1" applyFont="1" applyNumberFormat="1">
      <alignment horizontal="center" readingOrder="0" shrinkToFit="0" vertical="bottom" wrapText="0"/>
    </xf>
    <xf borderId="1" fillId="0" fontId="18" numFmtId="3" xfId="0" applyAlignment="1" applyBorder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center" readingOrder="0"/>
    </xf>
    <xf borderId="1" fillId="3" fontId="6" numFmtId="165" xfId="0" applyAlignment="1" applyBorder="1" applyFont="1" applyNumberFormat="1">
      <alignment horizontal="center" readingOrder="0" vertical="bottom"/>
    </xf>
    <xf borderId="1" fillId="0" fontId="8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vertical="bottom"/>
    </xf>
    <xf borderId="1" fillId="0" fontId="18" numFmtId="0" xfId="0" applyAlignment="1" applyBorder="1" applyFont="1">
      <alignment horizontal="center" vertical="bottom"/>
    </xf>
    <xf borderId="1" fillId="0" fontId="21" numFmtId="0" xfId="0" applyAlignment="1" applyBorder="1" applyFont="1">
      <alignment horizontal="center" readingOrder="0" shrinkToFit="0" vertical="bottom" wrapText="0"/>
    </xf>
    <xf borderId="1" fillId="0" fontId="22" numFmtId="0" xfId="0" applyAlignment="1" applyBorder="1" applyFont="1">
      <alignment horizontal="center" readingOrder="0" shrinkToFit="0" vertical="bottom" wrapText="0"/>
    </xf>
    <xf borderId="3" fillId="0" fontId="18" numFmtId="0" xfId="0" applyAlignment="1" applyBorder="1" applyFont="1">
      <alignment horizontal="center" readingOrder="0" shrinkToFit="0" vertical="bottom" wrapText="0"/>
    </xf>
    <xf borderId="0" fillId="0" fontId="22" numFmtId="0" xfId="0" applyAlignment="1" applyFont="1">
      <alignment horizontal="center" shrinkToFit="0" vertical="bottom" wrapText="0"/>
    </xf>
    <xf borderId="4" fillId="3" fontId="13" numFmtId="165" xfId="0" applyAlignment="1" applyBorder="1" applyFont="1" applyNumberFormat="1">
      <alignment horizontal="center" readingOrder="0" shrinkToFit="0" vertical="bottom" wrapText="0"/>
    </xf>
    <xf borderId="4" fillId="0" fontId="23" numFmtId="0" xfId="0" applyAlignment="1" applyBorder="1" applyFont="1">
      <alignment horizontal="center" readingOrder="0" shrinkToFit="0" vertical="bottom" wrapText="0"/>
    </xf>
    <xf borderId="1" fillId="0" fontId="22" numFmtId="0" xfId="0" applyAlignment="1" applyBorder="1" applyFont="1">
      <alignment horizontal="center" shrinkToFit="0" vertical="bottom" wrapText="0"/>
    </xf>
    <xf borderId="1" fillId="0" fontId="23" numFmtId="0" xfId="0" applyAlignment="1" applyBorder="1" applyFont="1">
      <alignment horizontal="center" readingOrder="0" shrinkToFit="0" vertical="bottom" wrapText="0"/>
    </xf>
    <xf borderId="2" fillId="0" fontId="8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vertical="bottom"/>
    </xf>
    <xf borderId="1" fillId="0" fontId="18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7.38"/>
  </cols>
  <sheetData>
    <row r="2" ht="33.75" customHeight="1">
      <c r="A2" s="1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8.5" customHeight="1">
      <c r="A3" s="3" t="s">
        <v>1</v>
      </c>
      <c r="B3" s="4" t="s">
        <v>2</v>
      </c>
      <c r="C3" s="4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0" customHeight="1">
      <c r="A4" s="6" t="s">
        <v>4</v>
      </c>
      <c r="B4" s="6">
        <v>7040.27</v>
      </c>
      <c r="C4" s="7">
        <v>2906.77</v>
      </c>
    </row>
    <row r="5" ht="21.0" customHeight="1">
      <c r="A5" s="6" t="s">
        <v>5</v>
      </c>
      <c r="B5" s="6">
        <v>9502.1</v>
      </c>
      <c r="C5" s="7">
        <v>3794.98</v>
      </c>
    </row>
    <row r="6" ht="21.0" customHeight="1">
      <c r="A6" s="6" t="s">
        <v>6</v>
      </c>
      <c r="B6" s="8">
        <v>8278.529999999999</v>
      </c>
      <c r="C6" s="9">
        <v>3569.79</v>
      </c>
    </row>
    <row r="7" ht="21.0" customHeight="1">
      <c r="A7" s="6" t="s">
        <v>7</v>
      </c>
      <c r="B7" s="8">
        <v>8543.7</v>
      </c>
      <c r="C7" s="9">
        <v>2955.22</v>
      </c>
    </row>
    <row r="8" ht="21.0" customHeight="1">
      <c r="A8" s="6" t="s">
        <v>8</v>
      </c>
      <c r="B8" s="8">
        <v>9851.06</v>
      </c>
      <c r="C8" s="9">
        <v>2717.11</v>
      </c>
    </row>
    <row r="9" ht="21.0" customHeight="1">
      <c r="A9" s="6" t="s">
        <v>9</v>
      </c>
      <c r="B9" s="6">
        <v>9163.96</v>
      </c>
      <c r="C9" s="7">
        <v>2920.19</v>
      </c>
    </row>
    <row r="10">
      <c r="A10" s="6" t="s">
        <v>10</v>
      </c>
      <c r="B10" s="6">
        <v>8991.31</v>
      </c>
      <c r="C10" s="7">
        <v>3314.28</v>
      </c>
    </row>
    <row r="11">
      <c r="A11" s="6" t="s">
        <v>11</v>
      </c>
      <c r="B11" s="6">
        <v>4694.54</v>
      </c>
      <c r="C11" s="10">
        <v>2606.77</v>
      </c>
    </row>
    <row r="12">
      <c r="A12" s="6" t="s">
        <v>12</v>
      </c>
      <c r="B12" s="6">
        <v>6945.6</v>
      </c>
      <c r="C12" s="6">
        <v>4801.67</v>
      </c>
    </row>
    <row r="13">
      <c r="A13" s="6" t="s">
        <v>13</v>
      </c>
      <c r="B13" s="6">
        <v>6233.24</v>
      </c>
      <c r="C13" s="6">
        <v>5510.81</v>
      </c>
    </row>
  </sheetData>
  <mergeCells count="1">
    <mergeCell ref="A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3" max="13" width="11.75"/>
  </cols>
  <sheetData>
    <row r="1">
      <c r="A1" s="11">
        <v>45723.0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>
      <c r="A2" s="13" t="s">
        <v>14</v>
      </c>
      <c r="B2" s="13" t="s">
        <v>15</v>
      </c>
      <c r="C2" s="13" t="s">
        <v>16</v>
      </c>
      <c r="D2" s="13" t="s">
        <v>17</v>
      </c>
      <c r="E2" s="13" t="s">
        <v>18</v>
      </c>
      <c r="F2" s="13" t="s">
        <v>19</v>
      </c>
      <c r="G2" s="13" t="s">
        <v>20</v>
      </c>
      <c r="H2" s="13" t="s">
        <v>21</v>
      </c>
      <c r="I2" s="13" t="s">
        <v>22</v>
      </c>
      <c r="J2" s="13" t="s">
        <v>23</v>
      </c>
      <c r="K2" s="14" t="s">
        <v>24</v>
      </c>
      <c r="L2" s="13" t="s">
        <v>25</v>
      </c>
    </row>
    <row r="3">
      <c r="A3" s="15" t="s">
        <v>26</v>
      </c>
      <c r="B3" s="16">
        <v>30.0</v>
      </c>
      <c r="C3" s="16">
        <v>15.0</v>
      </c>
      <c r="D3" s="16">
        <v>23.0</v>
      </c>
      <c r="E3" s="16">
        <v>6.0</v>
      </c>
      <c r="F3" s="16">
        <v>7.5</v>
      </c>
      <c r="G3" s="16">
        <v>15.0</v>
      </c>
      <c r="H3" s="16">
        <v>10.0</v>
      </c>
      <c r="I3" s="16">
        <v>5.0</v>
      </c>
      <c r="J3" s="16">
        <v>6.0</v>
      </c>
      <c r="K3" s="16">
        <v>25.0</v>
      </c>
      <c r="L3" s="16">
        <v>80.0</v>
      </c>
      <c r="N3" s="17">
        <f t="shared" ref="N3:N149" si="1">SUM(B3:M3)</f>
        <v>222.5</v>
      </c>
    </row>
    <row r="4">
      <c r="A4" s="15" t="s">
        <v>27</v>
      </c>
      <c r="B4" s="16">
        <v>12.0</v>
      </c>
      <c r="C4" s="16">
        <v>8.0</v>
      </c>
      <c r="D4" s="16">
        <v>12.0</v>
      </c>
      <c r="E4" s="16">
        <v>27.0</v>
      </c>
      <c r="F4" s="16">
        <v>11.4</v>
      </c>
      <c r="G4" s="16">
        <v>25.0</v>
      </c>
      <c r="H4" s="16">
        <v>20.0</v>
      </c>
      <c r="I4" s="16">
        <v>21.0</v>
      </c>
      <c r="J4" s="16">
        <v>11.0</v>
      </c>
      <c r="K4" s="16">
        <v>3.0</v>
      </c>
      <c r="L4" s="16">
        <v>0.0</v>
      </c>
      <c r="N4" s="17">
        <f t="shared" si="1"/>
        <v>150.4</v>
      </c>
    </row>
    <row r="5">
      <c r="A5" s="18" t="s">
        <v>28</v>
      </c>
      <c r="B5" s="18">
        <f t="shared" ref="B5:L5" si="2">SUM(B3:B4)</f>
        <v>42</v>
      </c>
      <c r="C5" s="18">
        <f t="shared" si="2"/>
        <v>23</v>
      </c>
      <c r="D5" s="18">
        <f t="shared" si="2"/>
        <v>35</v>
      </c>
      <c r="E5" s="18">
        <f t="shared" si="2"/>
        <v>33</v>
      </c>
      <c r="F5" s="18">
        <f t="shared" si="2"/>
        <v>18.9</v>
      </c>
      <c r="G5" s="18">
        <f t="shared" si="2"/>
        <v>40</v>
      </c>
      <c r="H5" s="18">
        <f t="shared" si="2"/>
        <v>30</v>
      </c>
      <c r="I5" s="18">
        <f t="shared" si="2"/>
        <v>26</v>
      </c>
      <c r="J5" s="18">
        <f t="shared" si="2"/>
        <v>17</v>
      </c>
      <c r="K5" s="18">
        <f t="shared" si="2"/>
        <v>28</v>
      </c>
      <c r="L5" s="18">
        <f t="shared" si="2"/>
        <v>80</v>
      </c>
      <c r="M5" s="19"/>
      <c r="N5" s="19">
        <f t="shared" si="1"/>
        <v>372.9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N6" s="17">
        <f t="shared" si="1"/>
        <v>0</v>
      </c>
    </row>
    <row r="7">
      <c r="A7" s="11">
        <v>45724.0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N7" s="17">
        <f t="shared" si="1"/>
        <v>0</v>
      </c>
    </row>
    <row r="8">
      <c r="A8" s="13" t="s">
        <v>14</v>
      </c>
      <c r="B8" s="13" t="s">
        <v>15</v>
      </c>
      <c r="C8" s="13" t="s">
        <v>16</v>
      </c>
      <c r="D8" s="13" t="s">
        <v>17</v>
      </c>
      <c r="E8" s="13" t="s">
        <v>18</v>
      </c>
      <c r="F8" s="13" t="s">
        <v>19</v>
      </c>
      <c r="G8" s="13" t="s">
        <v>20</v>
      </c>
      <c r="H8" s="13" t="s">
        <v>21</v>
      </c>
      <c r="I8" s="13" t="s">
        <v>22</v>
      </c>
      <c r="J8" s="13" t="s">
        <v>23</v>
      </c>
      <c r="K8" s="14" t="s">
        <v>24</v>
      </c>
      <c r="L8" s="13" t="s">
        <v>25</v>
      </c>
      <c r="N8" s="17">
        <f t="shared" si="1"/>
        <v>0</v>
      </c>
    </row>
    <row r="9">
      <c r="A9" s="15" t="s">
        <v>26</v>
      </c>
      <c r="B9" s="16">
        <v>14.0</v>
      </c>
      <c r="C9" s="16">
        <v>10.0</v>
      </c>
      <c r="D9" s="16">
        <v>16.0</v>
      </c>
      <c r="E9" s="16">
        <v>5.0</v>
      </c>
      <c r="F9" s="16">
        <v>8.0</v>
      </c>
      <c r="G9" s="16">
        <v>8.0</v>
      </c>
      <c r="H9" s="16">
        <v>16.0</v>
      </c>
      <c r="I9" s="16">
        <v>7.0</v>
      </c>
      <c r="J9" s="16">
        <v>4.0</v>
      </c>
      <c r="K9" s="16">
        <v>23.0</v>
      </c>
      <c r="L9" s="16">
        <v>88.0</v>
      </c>
      <c r="N9" s="17">
        <f t="shared" si="1"/>
        <v>199</v>
      </c>
    </row>
    <row r="10">
      <c r="A10" s="15" t="s">
        <v>27</v>
      </c>
      <c r="B10" s="16">
        <v>12.0</v>
      </c>
      <c r="C10" s="16">
        <v>4.0</v>
      </c>
      <c r="D10" s="16">
        <v>6.0</v>
      </c>
      <c r="E10" s="16">
        <v>23.0</v>
      </c>
      <c r="F10" s="16">
        <v>18.0</v>
      </c>
      <c r="G10" s="16">
        <v>21.0</v>
      </c>
      <c r="H10" s="16">
        <v>6.0</v>
      </c>
      <c r="I10" s="16">
        <v>14.0</v>
      </c>
      <c r="J10" s="16">
        <v>12.0</v>
      </c>
      <c r="K10" s="16">
        <v>3.0</v>
      </c>
      <c r="L10" s="16">
        <v>0.0</v>
      </c>
      <c r="N10" s="17">
        <f t="shared" si="1"/>
        <v>119</v>
      </c>
    </row>
    <row r="11">
      <c r="A11" s="18" t="s">
        <v>28</v>
      </c>
      <c r="B11" s="18">
        <f t="shared" ref="B11:L11" si="3">SUM(B9:B10)</f>
        <v>26</v>
      </c>
      <c r="C11" s="18">
        <f t="shared" si="3"/>
        <v>14</v>
      </c>
      <c r="D11" s="18">
        <f t="shared" si="3"/>
        <v>22</v>
      </c>
      <c r="E11" s="18">
        <f t="shared" si="3"/>
        <v>28</v>
      </c>
      <c r="F11" s="18">
        <f t="shared" si="3"/>
        <v>26</v>
      </c>
      <c r="G11" s="18">
        <f t="shared" si="3"/>
        <v>29</v>
      </c>
      <c r="H11" s="18">
        <f t="shared" si="3"/>
        <v>22</v>
      </c>
      <c r="I11" s="18">
        <f t="shared" si="3"/>
        <v>21</v>
      </c>
      <c r="J11" s="18">
        <f t="shared" si="3"/>
        <v>16</v>
      </c>
      <c r="K11" s="18">
        <f t="shared" si="3"/>
        <v>26</v>
      </c>
      <c r="L11" s="18">
        <f t="shared" si="3"/>
        <v>88</v>
      </c>
      <c r="M11" s="19"/>
      <c r="N11" s="19">
        <f t="shared" si="1"/>
        <v>318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N12" s="17">
        <f t="shared" si="1"/>
        <v>0</v>
      </c>
    </row>
    <row r="13">
      <c r="A13" s="11">
        <v>45725.0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N13" s="17">
        <f t="shared" si="1"/>
        <v>0</v>
      </c>
    </row>
    <row r="14">
      <c r="A14" s="13" t="s">
        <v>14</v>
      </c>
      <c r="B14" s="13" t="s">
        <v>15</v>
      </c>
      <c r="C14" s="13" t="s">
        <v>16</v>
      </c>
      <c r="D14" s="13" t="s">
        <v>17</v>
      </c>
      <c r="E14" s="13" t="s">
        <v>18</v>
      </c>
      <c r="F14" s="13" t="s">
        <v>19</v>
      </c>
      <c r="G14" s="13" t="s">
        <v>20</v>
      </c>
      <c r="H14" s="13" t="s">
        <v>21</v>
      </c>
      <c r="I14" s="13" t="s">
        <v>22</v>
      </c>
      <c r="J14" s="13" t="s">
        <v>23</v>
      </c>
      <c r="K14" s="14" t="s">
        <v>24</v>
      </c>
      <c r="L14" s="13" t="s">
        <v>25</v>
      </c>
      <c r="N14" s="17">
        <f t="shared" si="1"/>
        <v>0</v>
      </c>
    </row>
    <row r="15">
      <c r="A15" s="15" t="s">
        <v>26</v>
      </c>
      <c r="B15" s="16">
        <v>55.0</v>
      </c>
      <c r="C15" s="16">
        <v>15.0</v>
      </c>
      <c r="D15" s="16">
        <v>0.0</v>
      </c>
      <c r="E15" s="16">
        <v>4.2</v>
      </c>
      <c r="F15" s="16">
        <v>6.0</v>
      </c>
      <c r="G15" s="16">
        <v>6.0</v>
      </c>
      <c r="H15" s="16">
        <v>14.0</v>
      </c>
      <c r="I15" s="16">
        <v>2.88</v>
      </c>
      <c r="J15" s="16">
        <v>4.2</v>
      </c>
      <c r="K15" s="16">
        <v>7.0</v>
      </c>
      <c r="L15" s="16">
        <v>89.0</v>
      </c>
      <c r="N15" s="17">
        <f t="shared" si="1"/>
        <v>203.28</v>
      </c>
    </row>
    <row r="16">
      <c r="A16" s="15" t="s">
        <v>27</v>
      </c>
      <c r="B16" s="16">
        <v>10.0</v>
      </c>
      <c r="C16" s="16">
        <v>10.36</v>
      </c>
      <c r="D16" s="16">
        <v>8.0</v>
      </c>
      <c r="E16" s="16">
        <v>11.44</v>
      </c>
      <c r="F16" s="16">
        <v>33.0</v>
      </c>
      <c r="G16" s="16">
        <v>21.0</v>
      </c>
      <c r="H16" s="16">
        <v>8.0</v>
      </c>
      <c r="I16" s="16">
        <v>7.4</v>
      </c>
      <c r="J16" s="16">
        <v>14.4</v>
      </c>
      <c r="K16" s="16">
        <v>2.0</v>
      </c>
      <c r="L16" s="16">
        <v>2.0</v>
      </c>
      <c r="N16" s="17">
        <f t="shared" si="1"/>
        <v>127.6</v>
      </c>
    </row>
    <row r="17">
      <c r="A17" s="18" t="s">
        <v>28</v>
      </c>
      <c r="B17" s="18">
        <f t="shared" ref="B17:L17" si="4">SUM(B15:B16)</f>
        <v>65</v>
      </c>
      <c r="C17" s="18">
        <f t="shared" si="4"/>
        <v>25.36</v>
      </c>
      <c r="D17" s="18">
        <f t="shared" si="4"/>
        <v>8</v>
      </c>
      <c r="E17" s="18">
        <f t="shared" si="4"/>
        <v>15.64</v>
      </c>
      <c r="F17" s="18">
        <f t="shared" si="4"/>
        <v>39</v>
      </c>
      <c r="G17" s="18">
        <f t="shared" si="4"/>
        <v>27</v>
      </c>
      <c r="H17" s="18">
        <f t="shared" si="4"/>
        <v>22</v>
      </c>
      <c r="I17" s="18">
        <f t="shared" si="4"/>
        <v>10.28</v>
      </c>
      <c r="J17" s="18">
        <f t="shared" si="4"/>
        <v>18.6</v>
      </c>
      <c r="K17" s="18">
        <f t="shared" si="4"/>
        <v>9</v>
      </c>
      <c r="L17" s="18">
        <f t="shared" si="4"/>
        <v>91</v>
      </c>
      <c r="M17" s="20"/>
      <c r="N17" s="20">
        <f t="shared" si="1"/>
        <v>330.88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N18" s="17">
        <f t="shared" si="1"/>
        <v>0</v>
      </c>
    </row>
    <row r="19">
      <c r="A19" s="11">
        <v>45726.0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N19" s="17">
        <f t="shared" si="1"/>
        <v>0</v>
      </c>
    </row>
    <row r="20">
      <c r="A20" s="13" t="s">
        <v>14</v>
      </c>
      <c r="B20" s="13" t="s">
        <v>15</v>
      </c>
      <c r="C20" s="13" t="s">
        <v>16</v>
      </c>
      <c r="D20" s="13" t="s">
        <v>17</v>
      </c>
      <c r="E20" s="13" t="s">
        <v>18</v>
      </c>
      <c r="F20" s="13" t="s">
        <v>19</v>
      </c>
      <c r="G20" s="13" t="s">
        <v>20</v>
      </c>
      <c r="H20" s="13" t="s">
        <v>21</v>
      </c>
      <c r="I20" s="13" t="s">
        <v>22</v>
      </c>
      <c r="J20" s="13" t="s">
        <v>23</v>
      </c>
      <c r="K20" s="14" t="s">
        <v>24</v>
      </c>
      <c r="L20" s="13" t="s">
        <v>25</v>
      </c>
      <c r="N20" s="17">
        <f t="shared" si="1"/>
        <v>0</v>
      </c>
    </row>
    <row r="21">
      <c r="A21" s="15" t="s">
        <v>26</v>
      </c>
      <c r="B21" s="16">
        <v>40.0</v>
      </c>
      <c r="C21" s="16">
        <v>35.0</v>
      </c>
      <c r="D21" s="16">
        <v>20.0</v>
      </c>
      <c r="E21" s="16">
        <v>3.6</v>
      </c>
      <c r="F21" s="16">
        <v>4.66</v>
      </c>
      <c r="G21" s="16">
        <v>15.0</v>
      </c>
      <c r="H21" s="16">
        <v>17.0</v>
      </c>
      <c r="I21" s="16">
        <v>7.35</v>
      </c>
      <c r="J21" s="16">
        <v>3.0</v>
      </c>
      <c r="K21" s="16">
        <v>25.0</v>
      </c>
      <c r="L21" s="16">
        <v>90.0</v>
      </c>
      <c r="N21" s="17">
        <f t="shared" si="1"/>
        <v>260.61</v>
      </c>
    </row>
    <row r="22">
      <c r="A22" s="15" t="s">
        <v>27</v>
      </c>
      <c r="B22" s="16">
        <v>31.0</v>
      </c>
      <c r="C22" s="16">
        <v>17.32</v>
      </c>
      <c r="D22" s="16">
        <v>10.0</v>
      </c>
      <c r="E22" s="16">
        <v>10.44</v>
      </c>
      <c r="F22" s="16">
        <v>17.55</v>
      </c>
      <c r="G22" s="16">
        <v>17.0</v>
      </c>
      <c r="H22" s="16">
        <v>5.0</v>
      </c>
      <c r="I22" s="16">
        <v>12.86</v>
      </c>
      <c r="J22" s="16">
        <v>11.88</v>
      </c>
      <c r="K22" s="16">
        <v>2.0</v>
      </c>
      <c r="L22" s="16">
        <v>0.0</v>
      </c>
      <c r="N22" s="17">
        <f t="shared" si="1"/>
        <v>135.05</v>
      </c>
    </row>
    <row r="23">
      <c r="A23" s="18" t="s">
        <v>28</v>
      </c>
      <c r="B23" s="18">
        <f t="shared" ref="B23:L23" si="5">SUM(B21:B22)</f>
        <v>71</v>
      </c>
      <c r="C23" s="18">
        <f t="shared" si="5"/>
        <v>52.32</v>
      </c>
      <c r="D23" s="18">
        <f t="shared" si="5"/>
        <v>30</v>
      </c>
      <c r="E23" s="18">
        <f t="shared" si="5"/>
        <v>14.04</v>
      </c>
      <c r="F23" s="18">
        <f t="shared" si="5"/>
        <v>22.21</v>
      </c>
      <c r="G23" s="18">
        <f t="shared" si="5"/>
        <v>32</v>
      </c>
      <c r="H23" s="18">
        <f t="shared" si="5"/>
        <v>22</v>
      </c>
      <c r="I23" s="18">
        <f t="shared" si="5"/>
        <v>20.21</v>
      </c>
      <c r="J23" s="18">
        <f t="shared" si="5"/>
        <v>14.88</v>
      </c>
      <c r="K23" s="18">
        <f t="shared" si="5"/>
        <v>27</v>
      </c>
      <c r="L23" s="18">
        <f t="shared" si="5"/>
        <v>90</v>
      </c>
      <c r="M23" s="20"/>
      <c r="N23" s="20">
        <f t="shared" si="1"/>
        <v>395.66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N24" s="17">
        <f t="shared" si="1"/>
        <v>0</v>
      </c>
    </row>
    <row r="25">
      <c r="A25" s="11">
        <v>45727.0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N25" s="17">
        <f t="shared" si="1"/>
        <v>0</v>
      </c>
    </row>
    <row r="26">
      <c r="A26" s="13" t="s">
        <v>14</v>
      </c>
      <c r="B26" s="13" t="s">
        <v>15</v>
      </c>
      <c r="C26" s="13" t="s">
        <v>16</v>
      </c>
      <c r="D26" s="13" t="s">
        <v>17</v>
      </c>
      <c r="E26" s="13" t="s">
        <v>18</v>
      </c>
      <c r="F26" s="13" t="s">
        <v>19</v>
      </c>
      <c r="G26" s="13" t="s">
        <v>20</v>
      </c>
      <c r="H26" s="13" t="s">
        <v>21</v>
      </c>
      <c r="I26" s="13" t="s">
        <v>22</v>
      </c>
      <c r="J26" s="13" t="s">
        <v>23</v>
      </c>
      <c r="K26" s="14" t="s">
        <v>24</v>
      </c>
      <c r="L26" s="13" t="s">
        <v>25</v>
      </c>
      <c r="N26" s="17">
        <f t="shared" si="1"/>
        <v>0</v>
      </c>
    </row>
    <row r="27">
      <c r="A27" s="15" t="s">
        <v>26</v>
      </c>
      <c r="B27" s="16">
        <v>63.0</v>
      </c>
      <c r="C27" s="16">
        <v>20.98</v>
      </c>
      <c r="D27" s="16">
        <v>30.0</v>
      </c>
      <c r="E27" s="16">
        <v>2.66</v>
      </c>
      <c r="F27" s="16">
        <v>7.1</v>
      </c>
      <c r="G27" s="16">
        <v>15.0</v>
      </c>
      <c r="H27" s="16">
        <v>15.0</v>
      </c>
      <c r="I27" s="16">
        <v>3.75</v>
      </c>
      <c r="J27" s="16">
        <v>2.24</v>
      </c>
      <c r="K27" s="16">
        <v>8.0</v>
      </c>
      <c r="L27" s="16">
        <v>80.0</v>
      </c>
      <c r="N27" s="17">
        <f t="shared" si="1"/>
        <v>247.73</v>
      </c>
    </row>
    <row r="28">
      <c r="A28" s="15" t="s">
        <v>27</v>
      </c>
      <c r="B28" s="21">
        <v>20.0</v>
      </c>
      <c r="C28" s="16">
        <v>31.68</v>
      </c>
      <c r="D28" s="16">
        <v>11.66</v>
      </c>
      <c r="E28" s="16">
        <v>14.25</v>
      </c>
      <c r="F28" s="16">
        <v>20.67</v>
      </c>
      <c r="G28" s="16">
        <v>18.0</v>
      </c>
      <c r="H28" s="16">
        <v>5.0</v>
      </c>
      <c r="I28" s="16">
        <v>11.9</v>
      </c>
      <c r="J28" s="16">
        <v>9.98</v>
      </c>
      <c r="K28" s="16">
        <v>0.0</v>
      </c>
      <c r="L28" s="16">
        <v>2.0</v>
      </c>
      <c r="N28" s="17">
        <f t="shared" si="1"/>
        <v>145.14</v>
      </c>
    </row>
    <row r="29">
      <c r="A29" s="18" t="s">
        <v>28</v>
      </c>
      <c r="B29" s="18">
        <f t="shared" ref="B29:L29" si="6">SUM(B27:B28)</f>
        <v>83</v>
      </c>
      <c r="C29" s="18">
        <f t="shared" si="6"/>
        <v>52.66</v>
      </c>
      <c r="D29" s="18">
        <f t="shared" si="6"/>
        <v>41.66</v>
      </c>
      <c r="E29" s="18">
        <f t="shared" si="6"/>
        <v>16.91</v>
      </c>
      <c r="F29" s="18">
        <f t="shared" si="6"/>
        <v>27.77</v>
      </c>
      <c r="G29" s="18">
        <f t="shared" si="6"/>
        <v>33</v>
      </c>
      <c r="H29" s="18">
        <f t="shared" si="6"/>
        <v>20</v>
      </c>
      <c r="I29" s="18">
        <f t="shared" si="6"/>
        <v>15.65</v>
      </c>
      <c r="J29" s="18">
        <f t="shared" si="6"/>
        <v>12.22</v>
      </c>
      <c r="K29" s="18">
        <f t="shared" si="6"/>
        <v>8</v>
      </c>
      <c r="L29" s="18">
        <f t="shared" si="6"/>
        <v>82</v>
      </c>
      <c r="M29" s="20"/>
      <c r="N29" s="20">
        <f t="shared" si="1"/>
        <v>392.87</v>
      </c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N30" s="17">
        <f t="shared" si="1"/>
        <v>0</v>
      </c>
    </row>
    <row r="31">
      <c r="A31" s="11">
        <v>45728.0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N31" s="17">
        <f t="shared" si="1"/>
        <v>0</v>
      </c>
    </row>
    <row r="32">
      <c r="A32" s="13" t="s">
        <v>14</v>
      </c>
      <c r="B32" s="13" t="s">
        <v>15</v>
      </c>
      <c r="C32" s="13" t="s">
        <v>16</v>
      </c>
      <c r="D32" s="13" t="s">
        <v>17</v>
      </c>
      <c r="E32" s="13" t="s">
        <v>18</v>
      </c>
      <c r="F32" s="13" t="s">
        <v>19</v>
      </c>
      <c r="G32" s="13" t="s">
        <v>20</v>
      </c>
      <c r="H32" s="13" t="s">
        <v>21</v>
      </c>
      <c r="I32" s="13" t="s">
        <v>22</v>
      </c>
      <c r="J32" s="13" t="s">
        <v>23</v>
      </c>
      <c r="K32" s="14" t="s">
        <v>24</v>
      </c>
      <c r="L32" s="13" t="s">
        <v>25</v>
      </c>
      <c r="N32" s="17">
        <f t="shared" si="1"/>
        <v>0</v>
      </c>
    </row>
    <row r="33">
      <c r="A33" s="15" t="s">
        <v>26</v>
      </c>
      <c r="B33" s="16">
        <v>56.0</v>
      </c>
      <c r="C33" s="16">
        <v>19.62</v>
      </c>
      <c r="D33" s="16">
        <v>17.0</v>
      </c>
      <c r="E33" s="16">
        <v>3.87</v>
      </c>
      <c r="F33" s="16">
        <v>6.38</v>
      </c>
      <c r="G33" s="16">
        <v>14.0</v>
      </c>
      <c r="H33" s="16">
        <v>20.0</v>
      </c>
      <c r="I33" s="16">
        <v>3.89</v>
      </c>
      <c r="J33" s="16">
        <v>3.1</v>
      </c>
      <c r="K33" s="16">
        <v>8.0</v>
      </c>
      <c r="L33" s="16">
        <v>28.0</v>
      </c>
      <c r="N33" s="17">
        <f t="shared" si="1"/>
        <v>179.86</v>
      </c>
    </row>
    <row r="34">
      <c r="A34" s="15" t="s">
        <v>27</v>
      </c>
      <c r="B34" s="21">
        <v>25.0</v>
      </c>
      <c r="C34" s="16">
        <v>29.92</v>
      </c>
      <c r="D34" s="16">
        <v>20.0</v>
      </c>
      <c r="E34" s="16">
        <v>13.45</v>
      </c>
      <c r="F34" s="16">
        <v>21.97</v>
      </c>
      <c r="G34" s="16">
        <v>15.0</v>
      </c>
      <c r="H34" s="16">
        <v>8.0</v>
      </c>
      <c r="I34" s="16">
        <v>14.98</v>
      </c>
      <c r="J34" s="16">
        <v>8.88</v>
      </c>
      <c r="K34" s="16">
        <v>2.0</v>
      </c>
      <c r="L34" s="16">
        <v>2.0</v>
      </c>
      <c r="N34" s="17">
        <f t="shared" si="1"/>
        <v>161.2</v>
      </c>
    </row>
    <row r="35">
      <c r="A35" s="18" t="s">
        <v>28</v>
      </c>
      <c r="B35" s="18">
        <f t="shared" ref="B35:L35" si="7">SUM(B33:B34)</f>
        <v>81</v>
      </c>
      <c r="C35" s="18">
        <f t="shared" si="7"/>
        <v>49.54</v>
      </c>
      <c r="D35" s="18">
        <f t="shared" si="7"/>
        <v>37</v>
      </c>
      <c r="E35" s="18">
        <f t="shared" si="7"/>
        <v>17.32</v>
      </c>
      <c r="F35" s="18">
        <f t="shared" si="7"/>
        <v>28.35</v>
      </c>
      <c r="G35" s="18">
        <f t="shared" si="7"/>
        <v>29</v>
      </c>
      <c r="H35" s="18">
        <f t="shared" si="7"/>
        <v>28</v>
      </c>
      <c r="I35" s="18">
        <f t="shared" si="7"/>
        <v>18.87</v>
      </c>
      <c r="J35" s="18">
        <f t="shared" si="7"/>
        <v>11.98</v>
      </c>
      <c r="K35" s="18">
        <f t="shared" si="7"/>
        <v>10</v>
      </c>
      <c r="L35" s="18">
        <f t="shared" si="7"/>
        <v>30</v>
      </c>
      <c r="M35" s="20"/>
      <c r="N35" s="20">
        <f t="shared" si="1"/>
        <v>341.06</v>
      </c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N36" s="17">
        <f t="shared" si="1"/>
        <v>0</v>
      </c>
    </row>
    <row r="37">
      <c r="A37" s="11">
        <v>45729.0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N37" s="17">
        <f t="shared" si="1"/>
        <v>0</v>
      </c>
    </row>
    <row r="38">
      <c r="A38" s="13" t="s">
        <v>14</v>
      </c>
      <c r="B38" s="13" t="s">
        <v>15</v>
      </c>
      <c r="C38" s="13" t="s">
        <v>16</v>
      </c>
      <c r="D38" s="13" t="s">
        <v>17</v>
      </c>
      <c r="E38" s="13" t="s">
        <v>18</v>
      </c>
      <c r="F38" s="13" t="s">
        <v>19</v>
      </c>
      <c r="G38" s="13" t="s">
        <v>20</v>
      </c>
      <c r="H38" s="13" t="s">
        <v>21</v>
      </c>
      <c r="I38" s="13" t="s">
        <v>22</v>
      </c>
      <c r="J38" s="13" t="s">
        <v>23</v>
      </c>
      <c r="K38" s="14" t="s">
        <v>24</v>
      </c>
      <c r="L38" s="13" t="s">
        <v>25</v>
      </c>
      <c r="N38" s="17">
        <f t="shared" si="1"/>
        <v>0</v>
      </c>
    </row>
    <row r="39">
      <c r="A39" s="15" t="s">
        <v>26</v>
      </c>
      <c r="B39" s="16">
        <v>64.0</v>
      </c>
      <c r="C39" s="16">
        <v>22.18</v>
      </c>
      <c r="D39" s="16">
        <v>20.0</v>
      </c>
      <c r="E39" s="16">
        <v>6.0</v>
      </c>
      <c r="F39" s="16">
        <v>22.0</v>
      </c>
      <c r="G39" s="16">
        <v>13.0</v>
      </c>
      <c r="H39" s="16">
        <v>12.0</v>
      </c>
      <c r="I39" s="16">
        <v>6.0</v>
      </c>
      <c r="J39" s="16">
        <v>4.0</v>
      </c>
      <c r="K39" s="16">
        <v>8.0</v>
      </c>
      <c r="L39" s="16">
        <v>20.0</v>
      </c>
      <c r="N39" s="17">
        <f t="shared" si="1"/>
        <v>197.18</v>
      </c>
    </row>
    <row r="40">
      <c r="A40" s="15" t="s">
        <v>27</v>
      </c>
      <c r="B40" s="21">
        <v>17.0</v>
      </c>
      <c r="C40" s="16">
        <v>27.45</v>
      </c>
      <c r="D40" s="16">
        <v>17.0</v>
      </c>
      <c r="E40" s="16">
        <v>19.0</v>
      </c>
      <c r="F40" s="16">
        <v>28.0</v>
      </c>
      <c r="G40" s="16">
        <v>12.0</v>
      </c>
      <c r="H40" s="16">
        <v>5.0</v>
      </c>
      <c r="I40" s="16">
        <v>9.0</v>
      </c>
      <c r="J40" s="16">
        <v>17.0</v>
      </c>
      <c r="K40" s="16">
        <v>0.0</v>
      </c>
      <c r="L40" s="16">
        <v>1.0</v>
      </c>
      <c r="N40" s="17">
        <f t="shared" si="1"/>
        <v>152.45</v>
      </c>
    </row>
    <row r="41">
      <c r="A41" s="18" t="s">
        <v>28</v>
      </c>
      <c r="B41" s="18">
        <f t="shared" ref="B41:L41" si="8">SUM(B39:B40)</f>
        <v>81</v>
      </c>
      <c r="C41" s="18">
        <f t="shared" si="8"/>
        <v>49.63</v>
      </c>
      <c r="D41" s="18">
        <f t="shared" si="8"/>
        <v>37</v>
      </c>
      <c r="E41" s="18">
        <f t="shared" si="8"/>
        <v>25</v>
      </c>
      <c r="F41" s="18">
        <f t="shared" si="8"/>
        <v>50</v>
      </c>
      <c r="G41" s="18">
        <f t="shared" si="8"/>
        <v>25</v>
      </c>
      <c r="H41" s="18">
        <f t="shared" si="8"/>
        <v>17</v>
      </c>
      <c r="I41" s="18">
        <f t="shared" si="8"/>
        <v>15</v>
      </c>
      <c r="J41" s="18">
        <f t="shared" si="8"/>
        <v>21</v>
      </c>
      <c r="K41" s="18">
        <f t="shared" si="8"/>
        <v>8</v>
      </c>
      <c r="L41" s="18">
        <f t="shared" si="8"/>
        <v>21</v>
      </c>
      <c r="M41" s="20"/>
      <c r="N41" s="20">
        <f t="shared" si="1"/>
        <v>349.63</v>
      </c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4"/>
      <c r="N42" s="17">
        <f t="shared" si="1"/>
        <v>0</v>
      </c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11">
        <v>45730.0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N43" s="17">
        <f t="shared" si="1"/>
        <v>0</v>
      </c>
    </row>
    <row r="44">
      <c r="A44" s="13" t="s">
        <v>14</v>
      </c>
      <c r="B44" s="13" t="s">
        <v>15</v>
      </c>
      <c r="C44" s="13" t="s">
        <v>16</v>
      </c>
      <c r="D44" s="13" t="s">
        <v>17</v>
      </c>
      <c r="E44" s="13" t="s">
        <v>18</v>
      </c>
      <c r="F44" s="13" t="s">
        <v>19</v>
      </c>
      <c r="G44" s="13" t="s">
        <v>20</v>
      </c>
      <c r="H44" s="13" t="s">
        <v>21</v>
      </c>
      <c r="I44" s="13" t="s">
        <v>22</v>
      </c>
      <c r="J44" s="13" t="s">
        <v>23</v>
      </c>
      <c r="K44" s="13" t="s">
        <v>24</v>
      </c>
      <c r="L44" s="13" t="s">
        <v>25</v>
      </c>
      <c r="N44" s="17">
        <f t="shared" si="1"/>
        <v>0</v>
      </c>
    </row>
    <row r="45">
      <c r="A45" s="25" t="s">
        <v>26</v>
      </c>
      <c r="B45" s="16">
        <v>72.0</v>
      </c>
      <c r="C45" s="16">
        <v>9.3</v>
      </c>
      <c r="D45" s="16">
        <v>24.0</v>
      </c>
      <c r="E45" s="16">
        <v>3.6</v>
      </c>
      <c r="F45" s="16">
        <v>4.66</v>
      </c>
      <c r="G45" s="16">
        <v>25.0</v>
      </c>
      <c r="H45" s="16">
        <v>17.0</v>
      </c>
      <c r="I45" s="16">
        <v>7.35</v>
      </c>
      <c r="J45" s="16">
        <v>3.0</v>
      </c>
      <c r="K45" s="16">
        <v>25.0</v>
      </c>
      <c r="L45" s="15">
        <v>80.0</v>
      </c>
      <c r="N45" s="17">
        <f t="shared" si="1"/>
        <v>270.91</v>
      </c>
    </row>
    <row r="46">
      <c r="A46" s="25" t="s">
        <v>27</v>
      </c>
      <c r="B46" s="16">
        <v>28.0</v>
      </c>
      <c r="C46" s="16">
        <v>18.6</v>
      </c>
      <c r="D46" s="16">
        <v>15.0</v>
      </c>
      <c r="E46" s="16">
        <v>10.44</v>
      </c>
      <c r="F46" s="16">
        <v>17.55</v>
      </c>
      <c r="G46" s="16">
        <v>17.0</v>
      </c>
      <c r="H46" s="16">
        <v>10.0</v>
      </c>
      <c r="I46" s="16">
        <v>12.86</v>
      </c>
      <c r="J46" s="16">
        <v>11.88</v>
      </c>
      <c r="K46" s="16">
        <v>2.0</v>
      </c>
      <c r="L46" s="16">
        <v>0.0</v>
      </c>
      <c r="N46" s="17">
        <f t="shared" si="1"/>
        <v>143.33</v>
      </c>
    </row>
    <row r="47">
      <c r="A47" s="26" t="s">
        <v>28</v>
      </c>
      <c r="B47" s="18">
        <f t="shared" ref="B47:L47" si="9">SUM(B45:B46)</f>
        <v>100</v>
      </c>
      <c r="C47" s="18">
        <f t="shared" si="9"/>
        <v>27.9</v>
      </c>
      <c r="D47" s="18">
        <f t="shared" si="9"/>
        <v>39</v>
      </c>
      <c r="E47" s="18">
        <f t="shared" si="9"/>
        <v>14.04</v>
      </c>
      <c r="F47" s="18">
        <f t="shared" si="9"/>
        <v>22.21</v>
      </c>
      <c r="G47" s="18">
        <f t="shared" si="9"/>
        <v>42</v>
      </c>
      <c r="H47" s="18">
        <f t="shared" si="9"/>
        <v>27</v>
      </c>
      <c r="I47" s="18">
        <f t="shared" si="9"/>
        <v>20.21</v>
      </c>
      <c r="J47" s="18">
        <f t="shared" si="9"/>
        <v>14.88</v>
      </c>
      <c r="K47" s="18">
        <f t="shared" si="9"/>
        <v>27</v>
      </c>
      <c r="L47" s="18">
        <f t="shared" si="9"/>
        <v>80</v>
      </c>
      <c r="M47" s="20"/>
      <c r="N47" s="20">
        <f t="shared" si="1"/>
        <v>414.24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N48" s="17">
        <f t="shared" si="1"/>
        <v>0</v>
      </c>
    </row>
    <row r="49">
      <c r="A49" s="28">
        <v>45731.0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N49" s="17">
        <f t="shared" si="1"/>
        <v>0</v>
      </c>
    </row>
    <row r="50">
      <c r="A50" s="30" t="s">
        <v>14</v>
      </c>
      <c r="B50" s="30" t="s">
        <v>29</v>
      </c>
      <c r="C50" s="30" t="s">
        <v>30</v>
      </c>
      <c r="D50" s="30" t="s">
        <v>17</v>
      </c>
      <c r="E50" s="30" t="s">
        <v>31</v>
      </c>
      <c r="F50" s="30" t="s">
        <v>19</v>
      </c>
      <c r="G50" s="30" t="s">
        <v>20</v>
      </c>
      <c r="H50" s="30" t="s">
        <v>21</v>
      </c>
      <c r="I50" s="30" t="s">
        <v>22</v>
      </c>
      <c r="J50" s="30" t="s">
        <v>23</v>
      </c>
      <c r="K50" s="30" t="s">
        <v>24</v>
      </c>
      <c r="L50" s="30" t="s">
        <v>25</v>
      </c>
      <c r="N50" s="17">
        <f t="shared" si="1"/>
        <v>0</v>
      </c>
    </row>
    <row r="51">
      <c r="A51" s="31" t="s">
        <v>26</v>
      </c>
      <c r="B51" s="32">
        <v>82.0</v>
      </c>
      <c r="C51" s="32">
        <v>23.2</v>
      </c>
      <c r="D51" s="33">
        <v>0.0</v>
      </c>
      <c r="E51" s="16">
        <v>6.0</v>
      </c>
      <c r="F51" s="16">
        <v>22.0</v>
      </c>
      <c r="G51" s="16">
        <v>13.0</v>
      </c>
      <c r="H51" s="16">
        <v>12.0</v>
      </c>
      <c r="I51" s="16">
        <v>6.0</v>
      </c>
      <c r="J51" s="16">
        <v>4.0</v>
      </c>
      <c r="K51" s="16">
        <v>8.0</v>
      </c>
      <c r="L51" s="16">
        <v>70.0</v>
      </c>
      <c r="N51" s="17">
        <f t="shared" si="1"/>
        <v>246.2</v>
      </c>
    </row>
    <row r="52">
      <c r="A52" s="31" t="s">
        <v>27</v>
      </c>
      <c r="B52" s="32">
        <v>40.0</v>
      </c>
      <c r="C52" s="32">
        <v>12.4</v>
      </c>
      <c r="D52" s="33">
        <v>0.0</v>
      </c>
      <c r="E52" s="16">
        <v>19.0</v>
      </c>
      <c r="F52" s="16">
        <v>28.0</v>
      </c>
      <c r="G52" s="16">
        <v>12.0</v>
      </c>
      <c r="H52" s="16">
        <v>9.0</v>
      </c>
      <c r="I52" s="16">
        <v>9.0</v>
      </c>
      <c r="J52" s="16">
        <v>17.0</v>
      </c>
      <c r="K52" s="16">
        <v>0.0</v>
      </c>
      <c r="L52" s="16">
        <v>1.0</v>
      </c>
      <c r="N52" s="17">
        <f t="shared" si="1"/>
        <v>147.4</v>
      </c>
    </row>
    <row r="53">
      <c r="A53" s="34" t="s">
        <v>28</v>
      </c>
      <c r="B53" s="18">
        <f t="shared" ref="B53:L53" si="10">SUM(B51:B52)</f>
        <v>122</v>
      </c>
      <c r="C53" s="18">
        <f t="shared" si="10"/>
        <v>35.6</v>
      </c>
      <c r="D53" s="18">
        <f t="shared" si="10"/>
        <v>0</v>
      </c>
      <c r="E53" s="18">
        <f t="shared" si="10"/>
        <v>25</v>
      </c>
      <c r="F53" s="18">
        <f t="shared" si="10"/>
        <v>50</v>
      </c>
      <c r="G53" s="18">
        <f t="shared" si="10"/>
        <v>25</v>
      </c>
      <c r="H53" s="18">
        <f t="shared" si="10"/>
        <v>21</v>
      </c>
      <c r="I53" s="18">
        <f t="shared" si="10"/>
        <v>15</v>
      </c>
      <c r="J53" s="18">
        <f t="shared" si="10"/>
        <v>21</v>
      </c>
      <c r="K53" s="18">
        <f t="shared" si="10"/>
        <v>8</v>
      </c>
      <c r="L53" s="18">
        <f t="shared" si="10"/>
        <v>71</v>
      </c>
      <c r="M53" s="20"/>
      <c r="N53" s="20">
        <f t="shared" si="1"/>
        <v>393.6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N54" s="17">
        <f t="shared" si="1"/>
        <v>0</v>
      </c>
    </row>
    <row r="55">
      <c r="A55" s="35">
        <v>45732.0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N55" s="17">
        <f t="shared" si="1"/>
        <v>0</v>
      </c>
    </row>
    <row r="56">
      <c r="A56" s="30" t="s">
        <v>14</v>
      </c>
      <c r="B56" s="30" t="s">
        <v>29</v>
      </c>
      <c r="C56" s="30" t="s">
        <v>30</v>
      </c>
      <c r="D56" s="30" t="s">
        <v>17</v>
      </c>
      <c r="E56" s="30" t="s">
        <v>31</v>
      </c>
      <c r="F56" s="30" t="s">
        <v>19</v>
      </c>
      <c r="G56" s="30" t="s">
        <v>20</v>
      </c>
      <c r="H56" s="30" t="s">
        <v>21</v>
      </c>
      <c r="I56" s="30" t="s">
        <v>22</v>
      </c>
      <c r="J56" s="30" t="s">
        <v>23</v>
      </c>
      <c r="K56" s="30" t="s">
        <v>24</v>
      </c>
      <c r="L56" s="30" t="s">
        <v>25</v>
      </c>
      <c r="N56" s="17">
        <f t="shared" si="1"/>
        <v>0</v>
      </c>
    </row>
    <row r="57">
      <c r="A57" s="31" t="s">
        <v>26</v>
      </c>
      <c r="B57" s="36">
        <v>82.0</v>
      </c>
      <c r="C57" s="32">
        <v>29.1</v>
      </c>
      <c r="D57" s="33">
        <v>0.0</v>
      </c>
      <c r="E57" s="32">
        <v>18.5</v>
      </c>
      <c r="F57" s="32">
        <v>11.9</v>
      </c>
      <c r="G57" s="33">
        <v>10.0</v>
      </c>
      <c r="H57" s="33">
        <v>20.0</v>
      </c>
      <c r="I57" s="32">
        <v>10.3</v>
      </c>
      <c r="J57" s="32">
        <v>22.3</v>
      </c>
      <c r="K57" s="33">
        <v>24.0</v>
      </c>
      <c r="L57" s="33">
        <v>86.0</v>
      </c>
      <c r="N57" s="17">
        <f t="shared" si="1"/>
        <v>314.1</v>
      </c>
    </row>
    <row r="58">
      <c r="A58" s="31" t="s">
        <v>27</v>
      </c>
      <c r="B58" s="36">
        <v>31.0</v>
      </c>
      <c r="C58" s="32">
        <v>18.1</v>
      </c>
      <c r="D58" s="33">
        <v>0.0</v>
      </c>
      <c r="E58" s="33">
        <v>0.0</v>
      </c>
      <c r="F58" s="33">
        <v>0.0</v>
      </c>
      <c r="G58" s="33">
        <v>20.0</v>
      </c>
      <c r="H58" s="33">
        <v>10.0</v>
      </c>
      <c r="I58" s="33">
        <v>0.0</v>
      </c>
      <c r="J58" s="33">
        <v>0.0</v>
      </c>
      <c r="K58" s="33">
        <v>2.0</v>
      </c>
      <c r="L58" s="33">
        <v>0.0</v>
      </c>
      <c r="N58" s="17">
        <f t="shared" si="1"/>
        <v>81.1</v>
      </c>
    </row>
    <row r="59">
      <c r="A59" s="34" t="s">
        <v>28</v>
      </c>
      <c r="B59" s="18">
        <f t="shared" ref="B59:L59" si="11">SUM(B57:B58)</f>
        <v>113</v>
      </c>
      <c r="C59" s="18">
        <f t="shared" si="11"/>
        <v>47.2</v>
      </c>
      <c r="D59" s="18">
        <f t="shared" si="11"/>
        <v>0</v>
      </c>
      <c r="E59" s="18">
        <f t="shared" si="11"/>
        <v>18.5</v>
      </c>
      <c r="F59" s="18">
        <f t="shared" si="11"/>
        <v>11.9</v>
      </c>
      <c r="G59" s="18">
        <f t="shared" si="11"/>
        <v>30</v>
      </c>
      <c r="H59" s="18">
        <f t="shared" si="11"/>
        <v>30</v>
      </c>
      <c r="I59" s="18">
        <f t="shared" si="11"/>
        <v>10.3</v>
      </c>
      <c r="J59" s="18">
        <f t="shared" si="11"/>
        <v>22.3</v>
      </c>
      <c r="K59" s="18">
        <f t="shared" si="11"/>
        <v>26</v>
      </c>
      <c r="L59" s="18">
        <f t="shared" si="11"/>
        <v>86</v>
      </c>
      <c r="M59" s="20"/>
      <c r="N59" s="20">
        <f t="shared" si="1"/>
        <v>395.2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N60" s="17">
        <f t="shared" si="1"/>
        <v>0</v>
      </c>
    </row>
    <row r="61">
      <c r="A61" s="37">
        <v>45733.0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N61" s="17">
        <f t="shared" si="1"/>
        <v>0</v>
      </c>
    </row>
    <row r="62">
      <c r="A62" s="30" t="s">
        <v>14</v>
      </c>
      <c r="B62" s="30" t="s">
        <v>29</v>
      </c>
      <c r="C62" s="30" t="s">
        <v>30</v>
      </c>
      <c r="D62" s="30" t="s">
        <v>17</v>
      </c>
      <c r="E62" s="30" t="s">
        <v>31</v>
      </c>
      <c r="F62" s="30" t="s">
        <v>19</v>
      </c>
      <c r="G62" s="30" t="s">
        <v>20</v>
      </c>
      <c r="H62" s="30" t="s">
        <v>21</v>
      </c>
      <c r="I62" s="30" t="s">
        <v>22</v>
      </c>
      <c r="J62" s="30" t="s">
        <v>23</v>
      </c>
      <c r="K62" s="30" t="s">
        <v>24</v>
      </c>
      <c r="L62" s="30" t="s">
        <v>25</v>
      </c>
      <c r="N62" s="17">
        <f t="shared" si="1"/>
        <v>0</v>
      </c>
    </row>
    <row r="63">
      <c r="A63" s="31" t="s">
        <v>26</v>
      </c>
      <c r="B63" s="36">
        <v>82.0</v>
      </c>
      <c r="C63" s="32">
        <v>29.1</v>
      </c>
      <c r="D63" s="33">
        <v>0.0</v>
      </c>
      <c r="E63" s="32">
        <v>18.5</v>
      </c>
      <c r="F63" s="32">
        <v>11.9</v>
      </c>
      <c r="G63" s="33">
        <v>10.0</v>
      </c>
      <c r="H63" s="33">
        <v>20.0</v>
      </c>
      <c r="I63" s="32">
        <v>10.3</v>
      </c>
      <c r="J63" s="32">
        <v>22.3</v>
      </c>
      <c r="K63" s="33">
        <v>24.0</v>
      </c>
      <c r="L63" s="33">
        <v>86.0</v>
      </c>
      <c r="N63" s="17">
        <f t="shared" si="1"/>
        <v>314.1</v>
      </c>
    </row>
    <row r="64">
      <c r="A64" s="31" t="s">
        <v>27</v>
      </c>
      <c r="B64" s="32">
        <v>44.0</v>
      </c>
      <c r="C64" s="32">
        <v>16.1</v>
      </c>
      <c r="D64" s="16">
        <v>15.0</v>
      </c>
      <c r="E64" s="33">
        <v>0.0</v>
      </c>
      <c r="F64" s="33">
        <v>0.0</v>
      </c>
      <c r="G64" s="16">
        <v>12.0</v>
      </c>
      <c r="H64" s="16">
        <v>5.5</v>
      </c>
      <c r="I64" s="33">
        <v>0.0</v>
      </c>
      <c r="J64" s="33">
        <v>0.0</v>
      </c>
      <c r="K64" s="33">
        <v>2.0</v>
      </c>
      <c r="L64" s="33">
        <v>0.0</v>
      </c>
      <c r="N64" s="17">
        <f t="shared" si="1"/>
        <v>94.6</v>
      </c>
    </row>
    <row r="65">
      <c r="A65" s="34" t="s">
        <v>28</v>
      </c>
      <c r="B65" s="18">
        <f t="shared" ref="B65:L65" si="12">SUM(B64)</f>
        <v>44</v>
      </c>
      <c r="C65" s="18">
        <f t="shared" si="12"/>
        <v>16.1</v>
      </c>
      <c r="D65" s="18">
        <f t="shared" si="12"/>
        <v>15</v>
      </c>
      <c r="E65" s="18">
        <f t="shared" si="12"/>
        <v>0</v>
      </c>
      <c r="F65" s="18">
        <f t="shared" si="12"/>
        <v>0</v>
      </c>
      <c r="G65" s="18">
        <f t="shared" si="12"/>
        <v>12</v>
      </c>
      <c r="H65" s="18">
        <f t="shared" si="12"/>
        <v>5.5</v>
      </c>
      <c r="I65" s="18">
        <f t="shared" si="12"/>
        <v>0</v>
      </c>
      <c r="J65" s="18">
        <f t="shared" si="12"/>
        <v>0</v>
      </c>
      <c r="K65" s="18">
        <f t="shared" si="12"/>
        <v>2</v>
      </c>
      <c r="L65" s="18">
        <f t="shared" si="12"/>
        <v>0</v>
      </c>
      <c r="M65" s="20"/>
      <c r="N65" s="20">
        <f t="shared" si="1"/>
        <v>94.6</v>
      </c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N66" s="17">
        <f t="shared" si="1"/>
        <v>0</v>
      </c>
    </row>
    <row r="67">
      <c r="A67" s="35">
        <v>45734.0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N67" s="17">
        <f t="shared" si="1"/>
        <v>0</v>
      </c>
    </row>
    <row r="68">
      <c r="A68" s="30" t="s">
        <v>14</v>
      </c>
      <c r="B68" s="30" t="s">
        <v>29</v>
      </c>
      <c r="C68" s="30" t="s">
        <v>30</v>
      </c>
      <c r="D68" s="30" t="s">
        <v>17</v>
      </c>
      <c r="E68" s="30" t="s">
        <v>31</v>
      </c>
      <c r="F68" s="30" t="s">
        <v>19</v>
      </c>
      <c r="G68" s="30" t="s">
        <v>20</v>
      </c>
      <c r="H68" s="30" t="s">
        <v>21</v>
      </c>
      <c r="I68" s="30" t="s">
        <v>22</v>
      </c>
      <c r="J68" s="30" t="s">
        <v>23</v>
      </c>
      <c r="K68" s="30" t="s">
        <v>24</v>
      </c>
      <c r="L68" s="30" t="s">
        <v>25</v>
      </c>
      <c r="N68" s="17">
        <f t="shared" si="1"/>
        <v>0</v>
      </c>
    </row>
    <row r="69">
      <c r="A69" s="31" t="s">
        <v>26</v>
      </c>
      <c r="B69" s="32">
        <v>74.0</v>
      </c>
      <c r="C69" s="33">
        <v>25.0</v>
      </c>
      <c r="D69" s="32">
        <v>30.0</v>
      </c>
      <c r="E69" s="32">
        <v>24.9</v>
      </c>
      <c r="F69" s="32">
        <v>12.3</v>
      </c>
      <c r="G69" s="33">
        <v>10.0</v>
      </c>
      <c r="H69" s="33">
        <v>15.0</v>
      </c>
      <c r="I69" s="32">
        <v>18.0</v>
      </c>
      <c r="J69" s="32">
        <v>32.3</v>
      </c>
      <c r="K69" s="33">
        <v>20.0</v>
      </c>
      <c r="L69" s="33">
        <v>79.0</v>
      </c>
      <c r="N69" s="17">
        <f t="shared" si="1"/>
        <v>340.5</v>
      </c>
    </row>
    <row r="70">
      <c r="A70" s="31" t="s">
        <v>27</v>
      </c>
      <c r="B70" s="32">
        <v>42.0</v>
      </c>
      <c r="C70" s="33">
        <v>16.0</v>
      </c>
      <c r="D70" s="32">
        <v>15.0</v>
      </c>
      <c r="E70" s="33">
        <v>10.0</v>
      </c>
      <c r="F70" s="33">
        <v>8.0</v>
      </c>
      <c r="G70" s="33">
        <v>25.0</v>
      </c>
      <c r="H70" s="33">
        <v>4.5</v>
      </c>
      <c r="I70" s="33">
        <v>8.0</v>
      </c>
      <c r="J70" s="33">
        <v>10.0</v>
      </c>
      <c r="K70" s="33">
        <v>1.0</v>
      </c>
      <c r="L70" s="33">
        <v>0.0</v>
      </c>
      <c r="N70" s="17">
        <f t="shared" si="1"/>
        <v>139.5</v>
      </c>
    </row>
    <row r="71">
      <c r="A71" s="34" t="s">
        <v>28</v>
      </c>
      <c r="B71" s="18">
        <f t="shared" ref="B71:L71" si="13">SUM(B69:B70)</f>
        <v>116</v>
      </c>
      <c r="C71" s="18">
        <f t="shared" si="13"/>
        <v>41</v>
      </c>
      <c r="D71" s="18">
        <f t="shared" si="13"/>
        <v>45</v>
      </c>
      <c r="E71" s="18">
        <f t="shared" si="13"/>
        <v>34.9</v>
      </c>
      <c r="F71" s="18">
        <f t="shared" si="13"/>
        <v>20.3</v>
      </c>
      <c r="G71" s="18">
        <f t="shared" si="13"/>
        <v>35</v>
      </c>
      <c r="H71" s="18">
        <f t="shared" si="13"/>
        <v>19.5</v>
      </c>
      <c r="I71" s="18">
        <f t="shared" si="13"/>
        <v>26</v>
      </c>
      <c r="J71" s="18">
        <f t="shared" si="13"/>
        <v>42.3</v>
      </c>
      <c r="K71" s="18">
        <f t="shared" si="13"/>
        <v>21</v>
      </c>
      <c r="L71" s="18">
        <f t="shared" si="13"/>
        <v>79</v>
      </c>
      <c r="M71" s="20"/>
      <c r="N71" s="20">
        <f t="shared" si="1"/>
        <v>480</v>
      </c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N72" s="17">
        <f t="shared" si="1"/>
        <v>0</v>
      </c>
    </row>
    <row r="73">
      <c r="A73" s="37">
        <v>45735.0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N73" s="17">
        <f t="shared" si="1"/>
        <v>0</v>
      </c>
    </row>
    <row r="74">
      <c r="A74" s="30" t="s">
        <v>14</v>
      </c>
      <c r="B74" s="30" t="s">
        <v>29</v>
      </c>
      <c r="C74" s="30" t="s">
        <v>30</v>
      </c>
      <c r="D74" s="30" t="s">
        <v>17</v>
      </c>
      <c r="E74" s="30" t="s">
        <v>31</v>
      </c>
      <c r="F74" s="30" t="s">
        <v>19</v>
      </c>
      <c r="G74" s="30" t="s">
        <v>20</v>
      </c>
      <c r="H74" s="30" t="s">
        <v>21</v>
      </c>
      <c r="I74" s="30" t="s">
        <v>22</v>
      </c>
      <c r="J74" s="30" t="s">
        <v>23</v>
      </c>
      <c r="K74" s="30" t="s">
        <v>24</v>
      </c>
      <c r="L74" s="30" t="s">
        <v>25</v>
      </c>
      <c r="N74" s="17">
        <f t="shared" si="1"/>
        <v>0</v>
      </c>
    </row>
    <row r="75">
      <c r="A75" s="31" t="s">
        <v>26</v>
      </c>
      <c r="B75" s="32">
        <v>70.0</v>
      </c>
      <c r="C75" s="33">
        <v>60.0</v>
      </c>
      <c r="D75" s="33">
        <v>0.0</v>
      </c>
      <c r="E75" s="32">
        <v>11.2</v>
      </c>
      <c r="F75" s="32">
        <v>14.8</v>
      </c>
      <c r="G75" s="16">
        <v>13.6</v>
      </c>
      <c r="H75" s="16">
        <v>12.0</v>
      </c>
      <c r="I75" s="32">
        <v>10.4</v>
      </c>
      <c r="J75" s="32">
        <v>22.3</v>
      </c>
      <c r="K75" s="33">
        <v>17.0</v>
      </c>
      <c r="L75" s="33">
        <v>80.0</v>
      </c>
      <c r="N75" s="17">
        <f t="shared" si="1"/>
        <v>311.3</v>
      </c>
    </row>
    <row r="76">
      <c r="A76" s="31" t="s">
        <v>27</v>
      </c>
      <c r="B76" s="32">
        <v>30.0</v>
      </c>
      <c r="C76" s="33">
        <v>30.0</v>
      </c>
      <c r="D76" s="33">
        <v>0.0</v>
      </c>
      <c r="E76" s="33">
        <v>0.0</v>
      </c>
      <c r="F76" s="33">
        <v>0.0</v>
      </c>
      <c r="G76" s="33">
        <v>9.0</v>
      </c>
      <c r="H76" s="33">
        <v>4.0</v>
      </c>
      <c r="I76" s="33">
        <v>0.0</v>
      </c>
      <c r="J76" s="33">
        <v>0.0</v>
      </c>
      <c r="K76" s="33">
        <v>2.0</v>
      </c>
      <c r="L76" s="33">
        <v>0.0</v>
      </c>
      <c r="N76" s="17">
        <f t="shared" si="1"/>
        <v>75</v>
      </c>
    </row>
    <row r="77">
      <c r="A77" s="34" t="s">
        <v>28</v>
      </c>
      <c r="B77" s="18">
        <f t="shared" ref="B77:L77" si="14">SUM(B75:B76)</f>
        <v>100</v>
      </c>
      <c r="C77" s="18">
        <f t="shared" si="14"/>
        <v>90</v>
      </c>
      <c r="D77" s="18">
        <f t="shared" si="14"/>
        <v>0</v>
      </c>
      <c r="E77" s="18">
        <f t="shared" si="14"/>
        <v>11.2</v>
      </c>
      <c r="F77" s="18">
        <f t="shared" si="14"/>
        <v>14.8</v>
      </c>
      <c r="G77" s="18">
        <f t="shared" si="14"/>
        <v>22.6</v>
      </c>
      <c r="H77" s="18">
        <f t="shared" si="14"/>
        <v>16</v>
      </c>
      <c r="I77" s="18">
        <f t="shared" si="14"/>
        <v>10.4</v>
      </c>
      <c r="J77" s="18">
        <f t="shared" si="14"/>
        <v>22.3</v>
      </c>
      <c r="K77" s="18">
        <f t="shared" si="14"/>
        <v>19</v>
      </c>
      <c r="L77" s="18">
        <f t="shared" si="14"/>
        <v>80</v>
      </c>
      <c r="M77" s="20"/>
      <c r="N77" s="20">
        <f t="shared" si="1"/>
        <v>386.3</v>
      </c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N78" s="17">
        <f t="shared" si="1"/>
        <v>0</v>
      </c>
    </row>
    <row r="79">
      <c r="A79" s="35">
        <v>45736.0</v>
      </c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N79" s="17">
        <f t="shared" si="1"/>
        <v>0</v>
      </c>
    </row>
    <row r="80">
      <c r="A80" s="30" t="s">
        <v>14</v>
      </c>
      <c r="B80" s="30" t="s">
        <v>29</v>
      </c>
      <c r="C80" s="30" t="s">
        <v>30</v>
      </c>
      <c r="D80" s="30" t="s">
        <v>17</v>
      </c>
      <c r="E80" s="30" t="s">
        <v>31</v>
      </c>
      <c r="F80" s="30" t="s">
        <v>19</v>
      </c>
      <c r="G80" s="30" t="s">
        <v>20</v>
      </c>
      <c r="H80" s="30" t="s">
        <v>21</v>
      </c>
      <c r="I80" s="30" t="s">
        <v>22</v>
      </c>
      <c r="J80" s="30" t="s">
        <v>23</v>
      </c>
      <c r="K80" s="30" t="s">
        <v>24</v>
      </c>
      <c r="L80" s="30" t="s">
        <v>25</v>
      </c>
      <c r="N80" s="17">
        <f t="shared" si="1"/>
        <v>0</v>
      </c>
    </row>
    <row r="81">
      <c r="A81" s="31" t="s">
        <v>26</v>
      </c>
      <c r="B81" s="32">
        <v>35.0</v>
      </c>
      <c r="C81" s="33">
        <v>19.0</v>
      </c>
      <c r="D81" s="33">
        <v>0.0</v>
      </c>
      <c r="E81" s="32">
        <v>11.2</v>
      </c>
      <c r="F81" s="32">
        <v>14.8</v>
      </c>
      <c r="G81" s="16">
        <v>13.6</v>
      </c>
      <c r="H81" s="16">
        <v>12.0</v>
      </c>
      <c r="I81" s="32">
        <v>10.4</v>
      </c>
      <c r="J81" s="32">
        <v>22.3</v>
      </c>
      <c r="K81" s="33">
        <v>19.0</v>
      </c>
      <c r="L81" s="33">
        <v>89.0</v>
      </c>
      <c r="N81" s="17">
        <f t="shared" si="1"/>
        <v>246.3</v>
      </c>
    </row>
    <row r="82">
      <c r="A82" s="31" t="s">
        <v>27</v>
      </c>
      <c r="B82" s="32">
        <v>12.0</v>
      </c>
      <c r="C82" s="33">
        <v>8.0</v>
      </c>
      <c r="D82" s="33">
        <v>0.0</v>
      </c>
      <c r="E82" s="33">
        <v>10.0</v>
      </c>
      <c r="F82" s="33">
        <v>4.5</v>
      </c>
      <c r="G82" s="33">
        <v>20.0</v>
      </c>
      <c r="H82" s="33">
        <v>4.0</v>
      </c>
      <c r="I82" s="33">
        <v>9.0</v>
      </c>
      <c r="J82" s="33">
        <v>10.0</v>
      </c>
      <c r="K82" s="33">
        <v>2.0</v>
      </c>
      <c r="L82" s="33">
        <v>0.0</v>
      </c>
      <c r="N82" s="17">
        <f t="shared" si="1"/>
        <v>79.5</v>
      </c>
    </row>
    <row r="83">
      <c r="A83" s="34" t="s">
        <v>28</v>
      </c>
      <c r="B83" s="18">
        <f t="shared" ref="B83:L83" si="15">SUM(B81:B82)</f>
        <v>47</v>
      </c>
      <c r="C83" s="18">
        <f t="shared" si="15"/>
        <v>27</v>
      </c>
      <c r="D83" s="18">
        <f t="shared" si="15"/>
        <v>0</v>
      </c>
      <c r="E83" s="18">
        <f t="shared" si="15"/>
        <v>21.2</v>
      </c>
      <c r="F83" s="18">
        <f t="shared" si="15"/>
        <v>19.3</v>
      </c>
      <c r="G83" s="18">
        <f t="shared" si="15"/>
        <v>33.6</v>
      </c>
      <c r="H83" s="18">
        <f t="shared" si="15"/>
        <v>16</v>
      </c>
      <c r="I83" s="18">
        <f t="shared" si="15"/>
        <v>19.4</v>
      </c>
      <c r="J83" s="18">
        <f t="shared" si="15"/>
        <v>32.3</v>
      </c>
      <c r="K83" s="18">
        <f t="shared" si="15"/>
        <v>21</v>
      </c>
      <c r="L83" s="18">
        <f t="shared" si="15"/>
        <v>89</v>
      </c>
      <c r="M83" s="20"/>
      <c r="N83" s="20">
        <f t="shared" si="1"/>
        <v>325.8</v>
      </c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N84" s="17">
        <f t="shared" si="1"/>
        <v>0</v>
      </c>
    </row>
    <row r="85">
      <c r="A85" s="35">
        <v>45737.0</v>
      </c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N85" s="17">
        <f t="shared" si="1"/>
        <v>0</v>
      </c>
    </row>
    <row r="86">
      <c r="A86" s="30" t="s">
        <v>14</v>
      </c>
      <c r="B86" s="30" t="s">
        <v>29</v>
      </c>
      <c r="C86" s="30" t="s">
        <v>30</v>
      </c>
      <c r="D86" s="30" t="s">
        <v>17</v>
      </c>
      <c r="E86" s="30" t="s">
        <v>31</v>
      </c>
      <c r="F86" s="30" t="s">
        <v>19</v>
      </c>
      <c r="G86" s="30" t="s">
        <v>20</v>
      </c>
      <c r="H86" s="30" t="s">
        <v>21</v>
      </c>
      <c r="I86" s="30" t="s">
        <v>22</v>
      </c>
      <c r="J86" s="30" t="s">
        <v>23</v>
      </c>
      <c r="K86" s="30" t="s">
        <v>24</v>
      </c>
      <c r="L86" s="30" t="s">
        <v>25</v>
      </c>
      <c r="N86" s="17">
        <f t="shared" si="1"/>
        <v>0</v>
      </c>
    </row>
    <row r="87">
      <c r="A87" s="31" t="s">
        <v>26</v>
      </c>
      <c r="B87" s="33">
        <v>71.0</v>
      </c>
      <c r="C87" s="33">
        <v>29.0</v>
      </c>
      <c r="D87" s="32">
        <v>30.0</v>
      </c>
      <c r="E87" s="32">
        <v>18.3</v>
      </c>
      <c r="F87" s="32">
        <v>14.5</v>
      </c>
      <c r="G87" s="33">
        <v>20.0</v>
      </c>
      <c r="H87" s="33">
        <v>15.0</v>
      </c>
      <c r="I87" s="33">
        <v>17.0</v>
      </c>
      <c r="J87" s="33">
        <v>16.0</v>
      </c>
      <c r="K87" s="33">
        <v>17.0</v>
      </c>
      <c r="L87" s="33">
        <v>87.0</v>
      </c>
      <c r="N87" s="17">
        <f t="shared" si="1"/>
        <v>334.8</v>
      </c>
    </row>
    <row r="88">
      <c r="A88" s="31" t="s">
        <v>27</v>
      </c>
      <c r="B88" s="33">
        <v>35.0</v>
      </c>
      <c r="C88" s="33">
        <v>12.0</v>
      </c>
      <c r="D88" s="32">
        <v>15.0</v>
      </c>
      <c r="E88" s="33">
        <v>5.0</v>
      </c>
      <c r="F88" s="33">
        <v>5.5</v>
      </c>
      <c r="G88" s="33">
        <v>25.0</v>
      </c>
      <c r="H88" s="33">
        <v>10.0</v>
      </c>
      <c r="I88" s="33">
        <v>6.5</v>
      </c>
      <c r="J88" s="33">
        <v>7.5</v>
      </c>
      <c r="K88" s="33">
        <v>2.0</v>
      </c>
      <c r="L88" s="33">
        <v>0.0</v>
      </c>
      <c r="N88" s="17">
        <f t="shared" si="1"/>
        <v>123.5</v>
      </c>
    </row>
    <row r="89">
      <c r="A89" s="34" t="s">
        <v>28</v>
      </c>
      <c r="B89" s="18">
        <f t="shared" ref="B89:L89" si="16">SUM(B87:B88)</f>
        <v>106</v>
      </c>
      <c r="C89" s="18">
        <f t="shared" si="16"/>
        <v>41</v>
      </c>
      <c r="D89" s="18">
        <f t="shared" si="16"/>
        <v>45</v>
      </c>
      <c r="E89" s="18">
        <f t="shared" si="16"/>
        <v>23.3</v>
      </c>
      <c r="F89" s="18">
        <f t="shared" si="16"/>
        <v>20</v>
      </c>
      <c r="G89" s="18">
        <f t="shared" si="16"/>
        <v>45</v>
      </c>
      <c r="H89" s="18">
        <f t="shared" si="16"/>
        <v>25</v>
      </c>
      <c r="I89" s="18">
        <f t="shared" si="16"/>
        <v>23.5</v>
      </c>
      <c r="J89" s="18">
        <f t="shared" si="16"/>
        <v>23.5</v>
      </c>
      <c r="K89" s="18">
        <f t="shared" si="16"/>
        <v>19</v>
      </c>
      <c r="L89" s="18">
        <f t="shared" si="16"/>
        <v>87</v>
      </c>
      <c r="M89" s="20"/>
      <c r="N89" s="20">
        <f t="shared" si="1"/>
        <v>458.3</v>
      </c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N90" s="17">
        <f t="shared" si="1"/>
        <v>0</v>
      </c>
    </row>
    <row r="91">
      <c r="A91" s="35">
        <v>45738.0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N91" s="17">
        <f t="shared" si="1"/>
        <v>0</v>
      </c>
    </row>
    <row r="92">
      <c r="A92" s="30" t="s">
        <v>14</v>
      </c>
      <c r="B92" s="30" t="s">
        <v>29</v>
      </c>
      <c r="C92" s="30" t="s">
        <v>30</v>
      </c>
      <c r="D92" s="30" t="s">
        <v>17</v>
      </c>
      <c r="E92" s="30" t="s">
        <v>31</v>
      </c>
      <c r="F92" s="30" t="s">
        <v>19</v>
      </c>
      <c r="G92" s="30" t="s">
        <v>20</v>
      </c>
      <c r="H92" s="30" t="s">
        <v>21</v>
      </c>
      <c r="I92" s="30" t="s">
        <v>22</v>
      </c>
      <c r="J92" s="30" t="s">
        <v>23</v>
      </c>
      <c r="K92" s="30" t="s">
        <v>24</v>
      </c>
      <c r="L92" s="30" t="s">
        <v>25</v>
      </c>
      <c r="N92" s="17">
        <f t="shared" si="1"/>
        <v>0</v>
      </c>
    </row>
    <row r="93">
      <c r="A93" s="31" t="s">
        <v>26</v>
      </c>
      <c r="B93" s="33">
        <v>60.0</v>
      </c>
      <c r="C93" s="33">
        <v>21.1</v>
      </c>
      <c r="D93" s="33">
        <v>0.0</v>
      </c>
      <c r="E93" s="32">
        <v>11.2</v>
      </c>
      <c r="F93" s="32">
        <v>14.8</v>
      </c>
      <c r="G93" s="33">
        <v>16.0</v>
      </c>
      <c r="H93" s="33">
        <v>17.0</v>
      </c>
      <c r="I93" s="33">
        <v>27.0</v>
      </c>
      <c r="J93" s="33">
        <v>16.0</v>
      </c>
      <c r="K93" s="33">
        <v>19.0</v>
      </c>
      <c r="L93" s="33">
        <v>88.0</v>
      </c>
      <c r="N93" s="17">
        <f t="shared" si="1"/>
        <v>290.1</v>
      </c>
    </row>
    <row r="94">
      <c r="A94" s="31" t="s">
        <v>27</v>
      </c>
      <c r="B94" s="33">
        <v>42.0</v>
      </c>
      <c r="C94" s="33">
        <v>14.2</v>
      </c>
      <c r="D94" s="33">
        <v>0.0</v>
      </c>
      <c r="E94" s="33">
        <v>0.0</v>
      </c>
      <c r="F94" s="33">
        <v>0.0</v>
      </c>
      <c r="G94" s="33">
        <v>10.0</v>
      </c>
      <c r="H94" s="33">
        <v>5.0</v>
      </c>
      <c r="I94" s="33">
        <v>0.0</v>
      </c>
      <c r="J94" s="33">
        <v>0.0</v>
      </c>
      <c r="K94" s="33">
        <v>1.0</v>
      </c>
      <c r="L94" s="33">
        <v>0.0</v>
      </c>
      <c r="N94" s="17">
        <f t="shared" si="1"/>
        <v>72.2</v>
      </c>
    </row>
    <row r="95">
      <c r="A95" s="34" t="s">
        <v>28</v>
      </c>
      <c r="B95" s="18">
        <f t="shared" ref="B95:L95" si="17">SUM(B93:B94)</f>
        <v>102</v>
      </c>
      <c r="C95" s="18">
        <f t="shared" si="17"/>
        <v>35.3</v>
      </c>
      <c r="D95" s="18">
        <f t="shared" si="17"/>
        <v>0</v>
      </c>
      <c r="E95" s="18">
        <f t="shared" si="17"/>
        <v>11.2</v>
      </c>
      <c r="F95" s="18">
        <f t="shared" si="17"/>
        <v>14.8</v>
      </c>
      <c r="G95" s="18">
        <f t="shared" si="17"/>
        <v>26</v>
      </c>
      <c r="H95" s="18">
        <f t="shared" si="17"/>
        <v>22</v>
      </c>
      <c r="I95" s="18">
        <f t="shared" si="17"/>
        <v>27</v>
      </c>
      <c r="J95" s="18">
        <f t="shared" si="17"/>
        <v>16</v>
      </c>
      <c r="K95" s="18">
        <f t="shared" si="17"/>
        <v>20</v>
      </c>
      <c r="L95" s="18">
        <f t="shared" si="17"/>
        <v>88</v>
      </c>
      <c r="M95" s="20"/>
      <c r="N95" s="20">
        <f t="shared" si="1"/>
        <v>362.3</v>
      </c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N96" s="17">
        <f t="shared" si="1"/>
        <v>0</v>
      </c>
    </row>
    <row r="97">
      <c r="A97" s="35">
        <v>45739.0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N97" s="17">
        <f t="shared" si="1"/>
        <v>0</v>
      </c>
    </row>
    <row r="98">
      <c r="A98" s="30" t="s">
        <v>14</v>
      </c>
      <c r="B98" s="30" t="s">
        <v>29</v>
      </c>
      <c r="C98" s="30" t="s">
        <v>30</v>
      </c>
      <c r="D98" s="30" t="s">
        <v>17</v>
      </c>
      <c r="E98" s="30" t="s">
        <v>31</v>
      </c>
      <c r="F98" s="30" t="s">
        <v>19</v>
      </c>
      <c r="G98" s="30" t="s">
        <v>20</v>
      </c>
      <c r="H98" s="30" t="s">
        <v>21</v>
      </c>
      <c r="I98" s="30" t="s">
        <v>22</v>
      </c>
      <c r="J98" s="30" t="s">
        <v>23</v>
      </c>
      <c r="K98" s="30" t="s">
        <v>24</v>
      </c>
      <c r="L98" s="30" t="s">
        <v>25</v>
      </c>
      <c r="N98" s="17">
        <f t="shared" si="1"/>
        <v>0</v>
      </c>
    </row>
    <row r="99">
      <c r="A99" s="31" t="s">
        <v>26</v>
      </c>
      <c r="B99" s="33">
        <v>63.0</v>
      </c>
      <c r="C99" s="33">
        <v>31.4</v>
      </c>
      <c r="D99" s="32">
        <v>30.0</v>
      </c>
      <c r="E99" s="32">
        <v>18.3</v>
      </c>
      <c r="F99" s="32">
        <v>14.5</v>
      </c>
      <c r="G99" s="33">
        <v>16.0</v>
      </c>
      <c r="H99" s="33">
        <v>20.0</v>
      </c>
      <c r="I99" s="33">
        <v>14.5</v>
      </c>
      <c r="J99" s="33">
        <v>12.5</v>
      </c>
      <c r="K99" s="33">
        <v>19.0</v>
      </c>
      <c r="L99" s="16">
        <v>70.0</v>
      </c>
      <c r="N99" s="17">
        <f t="shared" si="1"/>
        <v>309.2</v>
      </c>
    </row>
    <row r="100">
      <c r="A100" s="31" t="s">
        <v>27</v>
      </c>
      <c r="B100" s="33">
        <v>31.0</v>
      </c>
      <c r="C100" s="33">
        <v>18.0</v>
      </c>
      <c r="D100" s="33">
        <v>12.0</v>
      </c>
      <c r="E100" s="33">
        <v>0.0</v>
      </c>
      <c r="F100" s="33">
        <v>0.0</v>
      </c>
      <c r="G100" s="33">
        <v>25.0</v>
      </c>
      <c r="H100" s="33">
        <v>8.0</v>
      </c>
      <c r="I100" s="33">
        <v>5.0</v>
      </c>
      <c r="J100" s="33">
        <v>6.0</v>
      </c>
      <c r="K100" s="33">
        <v>1.0</v>
      </c>
      <c r="L100" s="16">
        <v>1.0</v>
      </c>
      <c r="N100" s="17">
        <f t="shared" si="1"/>
        <v>107</v>
      </c>
    </row>
    <row r="101">
      <c r="A101" s="34" t="s">
        <v>28</v>
      </c>
      <c r="B101" s="18">
        <f t="shared" ref="B101:L101" si="18">SUM(B99:B100)</f>
        <v>94</v>
      </c>
      <c r="C101" s="18">
        <f t="shared" si="18"/>
        <v>49.4</v>
      </c>
      <c r="D101" s="18">
        <f t="shared" si="18"/>
        <v>42</v>
      </c>
      <c r="E101" s="18">
        <f t="shared" si="18"/>
        <v>18.3</v>
      </c>
      <c r="F101" s="18">
        <f t="shared" si="18"/>
        <v>14.5</v>
      </c>
      <c r="G101" s="18">
        <f t="shared" si="18"/>
        <v>41</v>
      </c>
      <c r="H101" s="18">
        <f t="shared" si="18"/>
        <v>28</v>
      </c>
      <c r="I101" s="18">
        <f t="shared" si="18"/>
        <v>19.5</v>
      </c>
      <c r="J101" s="18">
        <f t="shared" si="18"/>
        <v>18.5</v>
      </c>
      <c r="K101" s="18">
        <f t="shared" si="18"/>
        <v>20</v>
      </c>
      <c r="L101" s="18">
        <f t="shared" si="18"/>
        <v>71</v>
      </c>
      <c r="M101" s="20"/>
      <c r="N101" s="20">
        <f t="shared" si="1"/>
        <v>416.2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L102" s="29"/>
      <c r="N102" s="17">
        <f t="shared" si="1"/>
        <v>0</v>
      </c>
    </row>
    <row r="103">
      <c r="A103" s="35">
        <v>45740.0</v>
      </c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N103" s="17">
        <f t="shared" si="1"/>
        <v>0</v>
      </c>
    </row>
    <row r="104">
      <c r="A104" s="30" t="s">
        <v>14</v>
      </c>
      <c r="B104" s="30" t="s">
        <v>29</v>
      </c>
      <c r="C104" s="30" t="s">
        <v>30</v>
      </c>
      <c r="D104" s="30" t="s">
        <v>17</v>
      </c>
      <c r="E104" s="30" t="s">
        <v>31</v>
      </c>
      <c r="F104" s="30" t="s">
        <v>19</v>
      </c>
      <c r="G104" s="30" t="s">
        <v>20</v>
      </c>
      <c r="H104" s="30" t="s">
        <v>21</v>
      </c>
      <c r="I104" s="30" t="s">
        <v>22</v>
      </c>
      <c r="J104" s="30" t="s">
        <v>23</v>
      </c>
      <c r="K104" s="30" t="s">
        <v>24</v>
      </c>
      <c r="L104" s="30" t="s">
        <v>25</v>
      </c>
      <c r="N104" s="17">
        <f t="shared" si="1"/>
        <v>0</v>
      </c>
    </row>
    <row r="105">
      <c r="A105" s="31" t="s">
        <v>26</v>
      </c>
      <c r="B105" s="33">
        <v>33.0</v>
      </c>
      <c r="C105" s="33">
        <v>24.1</v>
      </c>
      <c r="D105" s="33">
        <v>60.0</v>
      </c>
      <c r="E105" s="32">
        <v>11.2</v>
      </c>
      <c r="F105" s="32">
        <v>14.8</v>
      </c>
      <c r="G105" s="32">
        <v>18.3</v>
      </c>
      <c r="H105" s="33">
        <v>17.5</v>
      </c>
      <c r="I105" s="32">
        <v>18.3</v>
      </c>
      <c r="J105" s="32">
        <v>14.5</v>
      </c>
      <c r="K105" s="33">
        <v>20.0</v>
      </c>
      <c r="L105" s="33">
        <v>86.0</v>
      </c>
      <c r="N105" s="17">
        <f t="shared" si="1"/>
        <v>317.7</v>
      </c>
    </row>
    <row r="106">
      <c r="A106" s="31" t="s">
        <v>27</v>
      </c>
      <c r="B106" s="33">
        <v>11.0</v>
      </c>
      <c r="C106" s="33">
        <v>17.3</v>
      </c>
      <c r="D106" s="32">
        <v>15.0</v>
      </c>
      <c r="E106" s="33">
        <v>0.0</v>
      </c>
      <c r="F106" s="33">
        <v>0.0</v>
      </c>
      <c r="G106" s="33">
        <v>20.0</v>
      </c>
      <c r="H106" s="33">
        <v>10.0</v>
      </c>
      <c r="I106" s="33">
        <v>0.0</v>
      </c>
      <c r="J106" s="33">
        <v>0.0</v>
      </c>
      <c r="K106" s="33">
        <v>1.0</v>
      </c>
      <c r="L106" s="33">
        <v>0.0</v>
      </c>
      <c r="N106" s="17">
        <f t="shared" si="1"/>
        <v>74.3</v>
      </c>
    </row>
    <row r="107">
      <c r="A107" s="34" t="s">
        <v>28</v>
      </c>
      <c r="B107" s="18">
        <f t="shared" ref="B107:L107" si="19">SUM(B105:B106)</f>
        <v>44</v>
      </c>
      <c r="C107" s="18">
        <f t="shared" si="19"/>
        <v>41.4</v>
      </c>
      <c r="D107" s="18">
        <f t="shared" si="19"/>
        <v>75</v>
      </c>
      <c r="E107" s="18">
        <f t="shared" si="19"/>
        <v>11.2</v>
      </c>
      <c r="F107" s="18">
        <f t="shared" si="19"/>
        <v>14.8</v>
      </c>
      <c r="G107" s="18">
        <f t="shared" si="19"/>
        <v>38.3</v>
      </c>
      <c r="H107" s="18">
        <f t="shared" si="19"/>
        <v>27.5</v>
      </c>
      <c r="I107" s="18">
        <f t="shared" si="19"/>
        <v>18.3</v>
      </c>
      <c r="J107" s="18">
        <f t="shared" si="19"/>
        <v>14.5</v>
      </c>
      <c r="K107" s="18">
        <f t="shared" si="19"/>
        <v>21</v>
      </c>
      <c r="L107" s="18">
        <f t="shared" si="19"/>
        <v>86</v>
      </c>
      <c r="M107" s="20"/>
      <c r="N107" s="20">
        <f t="shared" si="1"/>
        <v>392</v>
      </c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L108" s="29"/>
      <c r="N108" s="17">
        <f t="shared" si="1"/>
        <v>0</v>
      </c>
    </row>
    <row r="109">
      <c r="A109" s="35">
        <v>45741.0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N109" s="17">
        <f t="shared" si="1"/>
        <v>0</v>
      </c>
    </row>
    <row r="110">
      <c r="A110" s="30" t="s">
        <v>14</v>
      </c>
      <c r="B110" s="30" t="s">
        <v>29</v>
      </c>
      <c r="C110" s="30" t="s">
        <v>30</v>
      </c>
      <c r="D110" s="30" t="s">
        <v>17</v>
      </c>
      <c r="E110" s="30" t="s">
        <v>31</v>
      </c>
      <c r="F110" s="30" t="s">
        <v>19</v>
      </c>
      <c r="G110" s="30" t="s">
        <v>20</v>
      </c>
      <c r="H110" s="30" t="s">
        <v>21</v>
      </c>
      <c r="I110" s="30" t="s">
        <v>22</v>
      </c>
      <c r="J110" s="30" t="s">
        <v>23</v>
      </c>
      <c r="K110" s="30" t="s">
        <v>24</v>
      </c>
      <c r="L110" s="30" t="s">
        <v>25</v>
      </c>
      <c r="N110" s="17">
        <f t="shared" si="1"/>
        <v>0</v>
      </c>
    </row>
    <row r="111">
      <c r="A111" s="31" t="s">
        <v>26</v>
      </c>
      <c r="B111" s="33">
        <v>29.0</v>
      </c>
      <c r="C111" s="33">
        <v>32.0</v>
      </c>
      <c r="D111" s="33">
        <v>55.0</v>
      </c>
      <c r="E111" s="32">
        <v>18.3</v>
      </c>
      <c r="F111" s="32">
        <v>14.5</v>
      </c>
      <c r="G111" s="33">
        <v>22.0</v>
      </c>
      <c r="H111" s="33">
        <v>10.0</v>
      </c>
      <c r="I111" s="33">
        <v>20.0</v>
      </c>
      <c r="J111" s="33">
        <v>14.0</v>
      </c>
      <c r="K111" s="33">
        <v>25.0</v>
      </c>
      <c r="L111" s="33">
        <v>80.0</v>
      </c>
      <c r="N111" s="17">
        <f t="shared" si="1"/>
        <v>319.8</v>
      </c>
    </row>
    <row r="112">
      <c r="A112" s="31" t="s">
        <v>27</v>
      </c>
      <c r="B112" s="33">
        <v>10.0</v>
      </c>
      <c r="C112" s="33">
        <v>12.0</v>
      </c>
      <c r="D112" s="33">
        <v>20.0</v>
      </c>
      <c r="E112" s="33">
        <v>0.0</v>
      </c>
      <c r="F112" s="33">
        <v>0.0</v>
      </c>
      <c r="G112" s="33">
        <v>10.0</v>
      </c>
      <c r="H112" s="33">
        <v>20.0</v>
      </c>
      <c r="I112" s="33">
        <v>0.0</v>
      </c>
      <c r="J112" s="33">
        <v>0.0</v>
      </c>
      <c r="K112" s="33">
        <v>2.0</v>
      </c>
      <c r="L112" s="33">
        <v>0.0</v>
      </c>
      <c r="N112" s="17">
        <f t="shared" si="1"/>
        <v>74</v>
      </c>
    </row>
    <row r="113">
      <c r="A113" s="34" t="s">
        <v>28</v>
      </c>
      <c r="B113" s="18">
        <f t="shared" ref="B113:L113" si="20">SUM(B111:B112)</f>
        <v>39</v>
      </c>
      <c r="C113" s="18">
        <f t="shared" si="20"/>
        <v>44</v>
      </c>
      <c r="D113" s="18">
        <f t="shared" si="20"/>
        <v>75</v>
      </c>
      <c r="E113" s="18">
        <f t="shared" si="20"/>
        <v>18.3</v>
      </c>
      <c r="F113" s="18">
        <f t="shared" si="20"/>
        <v>14.5</v>
      </c>
      <c r="G113" s="18">
        <f t="shared" si="20"/>
        <v>32</v>
      </c>
      <c r="H113" s="18">
        <f t="shared" si="20"/>
        <v>30</v>
      </c>
      <c r="I113" s="18">
        <f t="shared" si="20"/>
        <v>20</v>
      </c>
      <c r="J113" s="18">
        <f t="shared" si="20"/>
        <v>14</v>
      </c>
      <c r="K113" s="18">
        <f t="shared" si="20"/>
        <v>27</v>
      </c>
      <c r="L113" s="18">
        <f t="shared" si="20"/>
        <v>80</v>
      </c>
      <c r="M113" s="20"/>
      <c r="N113" s="20">
        <f t="shared" si="1"/>
        <v>393.8</v>
      </c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L114" s="29"/>
      <c r="N114" s="17">
        <f t="shared" si="1"/>
        <v>0</v>
      </c>
    </row>
    <row r="115">
      <c r="A115" s="35">
        <v>45742.0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N115" s="17">
        <f t="shared" si="1"/>
        <v>0</v>
      </c>
    </row>
    <row r="116">
      <c r="A116" s="30" t="s">
        <v>14</v>
      </c>
      <c r="B116" s="30" t="s">
        <v>29</v>
      </c>
      <c r="C116" s="30" t="s">
        <v>30</v>
      </c>
      <c r="D116" s="30" t="s">
        <v>17</v>
      </c>
      <c r="E116" s="30" t="s">
        <v>31</v>
      </c>
      <c r="F116" s="30" t="s">
        <v>19</v>
      </c>
      <c r="G116" s="30" t="s">
        <v>20</v>
      </c>
      <c r="H116" s="30" t="s">
        <v>21</v>
      </c>
      <c r="I116" s="30" t="s">
        <v>22</v>
      </c>
      <c r="J116" s="30" t="s">
        <v>23</v>
      </c>
      <c r="K116" s="30" t="s">
        <v>24</v>
      </c>
      <c r="L116" s="30" t="s">
        <v>25</v>
      </c>
      <c r="N116" s="17">
        <f t="shared" si="1"/>
        <v>0</v>
      </c>
    </row>
    <row r="117">
      <c r="A117" s="31" t="s">
        <v>26</v>
      </c>
      <c r="B117" s="33">
        <v>58.0</v>
      </c>
      <c r="C117" s="33">
        <v>34.6</v>
      </c>
      <c r="D117" s="33">
        <v>0.0</v>
      </c>
      <c r="E117" s="33">
        <v>15.0</v>
      </c>
      <c r="F117" s="33">
        <v>18.5</v>
      </c>
      <c r="G117" s="33">
        <v>10.0</v>
      </c>
      <c r="H117" s="33">
        <v>25.0</v>
      </c>
      <c r="I117" s="33">
        <v>15.0</v>
      </c>
      <c r="J117" s="33">
        <v>17.0</v>
      </c>
      <c r="K117" s="33">
        <v>26.0</v>
      </c>
      <c r="L117" s="33">
        <v>79.0</v>
      </c>
      <c r="N117" s="17">
        <f t="shared" si="1"/>
        <v>298.1</v>
      </c>
    </row>
    <row r="118">
      <c r="A118" s="31" t="s">
        <v>27</v>
      </c>
      <c r="B118" s="33">
        <v>42.0</v>
      </c>
      <c r="C118" s="33">
        <v>22.2</v>
      </c>
      <c r="D118" s="33">
        <v>0.0</v>
      </c>
      <c r="E118" s="33">
        <v>6.5</v>
      </c>
      <c r="F118" s="33">
        <v>4.5</v>
      </c>
      <c r="G118" s="33">
        <v>30.0</v>
      </c>
      <c r="H118" s="33">
        <v>8.0</v>
      </c>
      <c r="I118" s="33">
        <v>9.5</v>
      </c>
      <c r="J118" s="33">
        <v>4.5</v>
      </c>
      <c r="K118" s="33">
        <v>1.0</v>
      </c>
      <c r="L118" s="33">
        <v>0.0</v>
      </c>
      <c r="N118" s="17">
        <f t="shared" si="1"/>
        <v>128.2</v>
      </c>
    </row>
    <row r="119">
      <c r="A119" s="34" t="s">
        <v>28</v>
      </c>
      <c r="B119" s="18">
        <f t="shared" ref="B119:L119" si="21">SUM(B117:B118)</f>
        <v>100</v>
      </c>
      <c r="C119" s="18">
        <f t="shared" si="21"/>
        <v>56.8</v>
      </c>
      <c r="D119" s="18">
        <f t="shared" si="21"/>
        <v>0</v>
      </c>
      <c r="E119" s="18">
        <f t="shared" si="21"/>
        <v>21.5</v>
      </c>
      <c r="F119" s="18">
        <f t="shared" si="21"/>
        <v>23</v>
      </c>
      <c r="G119" s="18">
        <f t="shared" si="21"/>
        <v>40</v>
      </c>
      <c r="H119" s="18">
        <f t="shared" si="21"/>
        <v>33</v>
      </c>
      <c r="I119" s="18">
        <f t="shared" si="21"/>
        <v>24.5</v>
      </c>
      <c r="J119" s="18">
        <f t="shared" si="21"/>
        <v>21.5</v>
      </c>
      <c r="K119" s="18">
        <f t="shared" si="21"/>
        <v>27</v>
      </c>
      <c r="L119" s="18">
        <f t="shared" si="21"/>
        <v>79</v>
      </c>
      <c r="M119" s="20"/>
      <c r="N119" s="20">
        <f t="shared" si="1"/>
        <v>426.3</v>
      </c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L120" s="29"/>
      <c r="N120" s="17">
        <f t="shared" si="1"/>
        <v>0</v>
      </c>
    </row>
    <row r="121">
      <c r="A121" s="35">
        <v>45743.0</v>
      </c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N121" s="17">
        <f t="shared" si="1"/>
        <v>0</v>
      </c>
    </row>
    <row r="122">
      <c r="A122" s="30" t="s">
        <v>14</v>
      </c>
      <c r="B122" s="30" t="s">
        <v>29</v>
      </c>
      <c r="C122" s="30" t="s">
        <v>30</v>
      </c>
      <c r="D122" s="30" t="s">
        <v>17</v>
      </c>
      <c r="E122" s="30" t="s">
        <v>31</v>
      </c>
      <c r="F122" s="30" t="s">
        <v>19</v>
      </c>
      <c r="G122" s="30" t="s">
        <v>20</v>
      </c>
      <c r="H122" s="30" t="s">
        <v>21</v>
      </c>
      <c r="I122" s="30" t="s">
        <v>22</v>
      </c>
      <c r="J122" s="30" t="s">
        <v>23</v>
      </c>
      <c r="K122" s="30" t="s">
        <v>24</v>
      </c>
      <c r="L122" s="30" t="s">
        <v>25</v>
      </c>
      <c r="N122" s="17">
        <f t="shared" si="1"/>
        <v>0</v>
      </c>
    </row>
    <row r="123">
      <c r="A123" s="31" t="s">
        <v>26</v>
      </c>
      <c r="B123" s="33">
        <v>56.0</v>
      </c>
      <c r="C123" s="33">
        <v>30.0</v>
      </c>
      <c r="D123" s="33">
        <v>0.0</v>
      </c>
      <c r="E123" s="32">
        <v>18.3</v>
      </c>
      <c r="F123" s="32">
        <v>14.5</v>
      </c>
      <c r="G123" s="33">
        <v>8.0</v>
      </c>
      <c r="H123" s="33">
        <v>15.0</v>
      </c>
      <c r="I123" s="33">
        <v>16.0</v>
      </c>
      <c r="J123" s="33">
        <v>30.0</v>
      </c>
      <c r="K123" s="33">
        <v>27.0</v>
      </c>
      <c r="L123" s="33">
        <v>80.0</v>
      </c>
      <c r="N123" s="17">
        <f t="shared" si="1"/>
        <v>294.8</v>
      </c>
    </row>
    <row r="124">
      <c r="A124" s="31" t="s">
        <v>27</v>
      </c>
      <c r="B124" s="33">
        <v>30.0</v>
      </c>
      <c r="C124" s="33">
        <v>20.0</v>
      </c>
      <c r="D124" s="33">
        <v>0.0</v>
      </c>
      <c r="E124" s="33">
        <v>14.0</v>
      </c>
      <c r="F124" s="33">
        <v>16.0</v>
      </c>
      <c r="G124" s="33">
        <v>10.0</v>
      </c>
      <c r="H124" s="33">
        <v>8.0</v>
      </c>
      <c r="I124" s="33">
        <v>10.0</v>
      </c>
      <c r="J124" s="33">
        <v>9.0</v>
      </c>
      <c r="K124" s="33">
        <v>1.0</v>
      </c>
      <c r="L124" s="33">
        <v>0.0</v>
      </c>
      <c r="N124" s="17">
        <f t="shared" si="1"/>
        <v>118</v>
      </c>
    </row>
    <row r="125">
      <c r="A125" s="34" t="s">
        <v>28</v>
      </c>
      <c r="B125" s="18">
        <f t="shared" ref="B125:L125" si="22">SUM(B123:B124)</f>
        <v>86</v>
      </c>
      <c r="C125" s="18">
        <f t="shared" si="22"/>
        <v>50</v>
      </c>
      <c r="D125" s="18">
        <f t="shared" si="22"/>
        <v>0</v>
      </c>
      <c r="E125" s="18">
        <f t="shared" si="22"/>
        <v>32.3</v>
      </c>
      <c r="F125" s="18">
        <f t="shared" si="22"/>
        <v>30.5</v>
      </c>
      <c r="G125" s="18">
        <f t="shared" si="22"/>
        <v>18</v>
      </c>
      <c r="H125" s="18">
        <f t="shared" si="22"/>
        <v>23</v>
      </c>
      <c r="I125" s="18">
        <f t="shared" si="22"/>
        <v>26</v>
      </c>
      <c r="J125" s="18">
        <f t="shared" si="22"/>
        <v>39</v>
      </c>
      <c r="K125" s="18">
        <f t="shared" si="22"/>
        <v>28</v>
      </c>
      <c r="L125" s="18">
        <f t="shared" si="22"/>
        <v>80</v>
      </c>
      <c r="M125" s="20"/>
      <c r="N125" s="20">
        <f t="shared" si="1"/>
        <v>412.8</v>
      </c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L126" s="29"/>
      <c r="N126" s="17">
        <f t="shared" si="1"/>
        <v>0</v>
      </c>
    </row>
    <row r="127">
      <c r="A127" s="35">
        <v>45744.0</v>
      </c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N127" s="17">
        <f t="shared" si="1"/>
        <v>0</v>
      </c>
    </row>
    <row r="128">
      <c r="A128" s="30" t="s">
        <v>14</v>
      </c>
      <c r="B128" s="30" t="s">
        <v>29</v>
      </c>
      <c r="C128" s="30" t="s">
        <v>30</v>
      </c>
      <c r="D128" s="30" t="s">
        <v>17</v>
      </c>
      <c r="E128" s="30" t="s">
        <v>31</v>
      </c>
      <c r="F128" s="30" t="s">
        <v>19</v>
      </c>
      <c r="G128" s="30" t="s">
        <v>20</v>
      </c>
      <c r="H128" s="30" t="s">
        <v>21</v>
      </c>
      <c r="I128" s="30" t="s">
        <v>22</v>
      </c>
      <c r="J128" s="30" t="s">
        <v>23</v>
      </c>
      <c r="K128" s="30" t="s">
        <v>24</v>
      </c>
      <c r="L128" s="30" t="s">
        <v>25</v>
      </c>
      <c r="N128" s="17">
        <f t="shared" si="1"/>
        <v>0</v>
      </c>
    </row>
    <row r="129">
      <c r="A129" s="31" t="s">
        <v>26</v>
      </c>
      <c r="B129" s="33">
        <v>24.0</v>
      </c>
      <c r="C129" s="33">
        <v>23.0</v>
      </c>
      <c r="D129" s="33">
        <v>45.0</v>
      </c>
      <c r="E129" s="33">
        <v>15.4</v>
      </c>
      <c r="F129" s="33">
        <v>16.5</v>
      </c>
      <c r="G129" s="21">
        <v>20.0</v>
      </c>
      <c r="H129" s="21">
        <v>25.0</v>
      </c>
      <c r="I129" s="33">
        <v>14.2</v>
      </c>
      <c r="J129" s="33">
        <v>36.4</v>
      </c>
      <c r="K129" s="33">
        <v>29.0</v>
      </c>
      <c r="L129" s="33">
        <v>89.0</v>
      </c>
      <c r="N129" s="17">
        <f t="shared" si="1"/>
        <v>337.5</v>
      </c>
    </row>
    <row r="130">
      <c r="A130" s="31" t="s">
        <v>27</v>
      </c>
      <c r="B130" s="33">
        <v>11.0</v>
      </c>
      <c r="C130" s="33">
        <v>16.0</v>
      </c>
      <c r="D130" s="33">
        <v>27.0</v>
      </c>
      <c r="E130" s="33">
        <v>0.0</v>
      </c>
      <c r="F130" s="33">
        <v>0.0</v>
      </c>
      <c r="G130" s="33">
        <v>25.0</v>
      </c>
      <c r="H130" s="33">
        <v>10.0</v>
      </c>
      <c r="I130" s="33">
        <v>0.0</v>
      </c>
      <c r="J130" s="33">
        <v>0.0</v>
      </c>
      <c r="K130" s="33">
        <v>1.0</v>
      </c>
      <c r="L130" s="33">
        <v>0.0</v>
      </c>
      <c r="N130" s="17">
        <f t="shared" si="1"/>
        <v>90</v>
      </c>
    </row>
    <row r="131">
      <c r="A131" s="34" t="s">
        <v>28</v>
      </c>
      <c r="B131" s="18">
        <f t="shared" ref="B131:L131" si="23">SUM(B129:B130)</f>
        <v>35</v>
      </c>
      <c r="C131" s="18">
        <f t="shared" si="23"/>
        <v>39</v>
      </c>
      <c r="D131" s="18">
        <f t="shared" si="23"/>
        <v>72</v>
      </c>
      <c r="E131" s="18">
        <f t="shared" si="23"/>
        <v>15.4</v>
      </c>
      <c r="F131" s="18">
        <f t="shared" si="23"/>
        <v>16.5</v>
      </c>
      <c r="G131" s="18">
        <f t="shared" si="23"/>
        <v>45</v>
      </c>
      <c r="H131" s="18">
        <f t="shared" si="23"/>
        <v>35</v>
      </c>
      <c r="I131" s="18">
        <f t="shared" si="23"/>
        <v>14.2</v>
      </c>
      <c r="J131" s="18">
        <f t="shared" si="23"/>
        <v>36.4</v>
      </c>
      <c r="K131" s="18">
        <f t="shared" si="23"/>
        <v>30</v>
      </c>
      <c r="L131" s="18">
        <f t="shared" si="23"/>
        <v>89</v>
      </c>
      <c r="M131" s="20"/>
      <c r="N131" s="20">
        <f t="shared" si="1"/>
        <v>427.5</v>
      </c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N132" s="17">
        <f t="shared" si="1"/>
        <v>0</v>
      </c>
    </row>
    <row r="133">
      <c r="A133" s="35">
        <v>45745.0</v>
      </c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N133" s="17">
        <f t="shared" si="1"/>
        <v>0</v>
      </c>
    </row>
    <row r="134">
      <c r="A134" s="30" t="s">
        <v>14</v>
      </c>
      <c r="B134" s="30" t="s">
        <v>29</v>
      </c>
      <c r="C134" s="30" t="s">
        <v>30</v>
      </c>
      <c r="D134" s="30" t="s">
        <v>17</v>
      </c>
      <c r="E134" s="30" t="s">
        <v>31</v>
      </c>
      <c r="F134" s="30" t="s">
        <v>19</v>
      </c>
      <c r="G134" s="30" t="s">
        <v>20</v>
      </c>
      <c r="H134" s="30" t="s">
        <v>21</v>
      </c>
      <c r="I134" s="30" t="s">
        <v>22</v>
      </c>
      <c r="J134" s="30" t="s">
        <v>23</v>
      </c>
      <c r="K134" s="30" t="s">
        <v>24</v>
      </c>
      <c r="L134" s="30" t="s">
        <v>25</v>
      </c>
      <c r="N134" s="17">
        <f t="shared" si="1"/>
        <v>0</v>
      </c>
    </row>
    <row r="135">
      <c r="A135" s="31" t="s">
        <v>26</v>
      </c>
      <c r="B135" s="33">
        <v>40.0</v>
      </c>
      <c r="C135" s="33">
        <v>26.2</v>
      </c>
      <c r="D135" s="33">
        <v>50.0</v>
      </c>
      <c r="E135" s="33">
        <v>12.4</v>
      </c>
      <c r="F135" s="33">
        <v>15.5</v>
      </c>
      <c r="G135" s="33">
        <v>25.0</v>
      </c>
      <c r="H135" s="21">
        <v>16.0</v>
      </c>
      <c r="I135" s="33">
        <v>17.4</v>
      </c>
      <c r="J135" s="33">
        <v>32.7</v>
      </c>
      <c r="K135" s="33">
        <v>30.0</v>
      </c>
      <c r="L135" s="33">
        <v>87.0</v>
      </c>
      <c r="N135" s="17">
        <f t="shared" si="1"/>
        <v>352.2</v>
      </c>
    </row>
    <row r="136">
      <c r="A136" s="31" t="s">
        <v>27</v>
      </c>
      <c r="B136" s="33">
        <v>12.0</v>
      </c>
      <c r="C136" s="33">
        <v>17.1</v>
      </c>
      <c r="D136" s="33">
        <v>40.0</v>
      </c>
      <c r="E136" s="33">
        <v>15.0</v>
      </c>
      <c r="F136" s="33">
        <v>16.0</v>
      </c>
      <c r="G136" s="33">
        <v>25.0</v>
      </c>
      <c r="H136" s="33">
        <v>8.0</v>
      </c>
      <c r="I136" s="33">
        <v>17.0</v>
      </c>
      <c r="J136" s="33">
        <v>18.0</v>
      </c>
      <c r="K136" s="33">
        <v>1.0</v>
      </c>
      <c r="L136" s="33">
        <v>0.0</v>
      </c>
      <c r="N136" s="17">
        <f t="shared" si="1"/>
        <v>169.1</v>
      </c>
    </row>
    <row r="137">
      <c r="A137" s="34" t="s">
        <v>28</v>
      </c>
      <c r="B137" s="18">
        <f t="shared" ref="B137:L137" si="24">SUM(B135:B136)</f>
        <v>52</v>
      </c>
      <c r="C137" s="18">
        <f t="shared" si="24"/>
        <v>43.3</v>
      </c>
      <c r="D137" s="18">
        <f t="shared" si="24"/>
        <v>90</v>
      </c>
      <c r="E137" s="18">
        <f t="shared" si="24"/>
        <v>27.4</v>
      </c>
      <c r="F137" s="18">
        <f t="shared" si="24"/>
        <v>31.5</v>
      </c>
      <c r="G137" s="18">
        <f t="shared" si="24"/>
        <v>50</v>
      </c>
      <c r="H137" s="18">
        <f t="shared" si="24"/>
        <v>24</v>
      </c>
      <c r="I137" s="18">
        <f t="shared" si="24"/>
        <v>34.4</v>
      </c>
      <c r="J137" s="18">
        <f t="shared" si="24"/>
        <v>50.7</v>
      </c>
      <c r="K137" s="18">
        <f t="shared" si="24"/>
        <v>31</v>
      </c>
      <c r="L137" s="18">
        <f t="shared" si="24"/>
        <v>87</v>
      </c>
      <c r="M137" s="20"/>
      <c r="N137" s="20">
        <f t="shared" si="1"/>
        <v>521.3</v>
      </c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N138" s="17">
        <f t="shared" si="1"/>
        <v>0</v>
      </c>
    </row>
    <row r="139">
      <c r="A139" s="35">
        <v>45746.0</v>
      </c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N139" s="17">
        <f t="shared" si="1"/>
        <v>0</v>
      </c>
    </row>
    <row r="140">
      <c r="A140" s="30" t="s">
        <v>14</v>
      </c>
      <c r="B140" s="30" t="s">
        <v>29</v>
      </c>
      <c r="C140" s="30" t="s">
        <v>30</v>
      </c>
      <c r="D140" s="30" t="s">
        <v>17</v>
      </c>
      <c r="E140" s="30" t="s">
        <v>31</v>
      </c>
      <c r="F140" s="30" t="s">
        <v>19</v>
      </c>
      <c r="G140" s="30" t="s">
        <v>20</v>
      </c>
      <c r="H140" s="30" t="s">
        <v>21</v>
      </c>
      <c r="I140" s="30" t="s">
        <v>22</v>
      </c>
      <c r="J140" s="30" t="s">
        <v>23</v>
      </c>
      <c r="K140" s="30" t="s">
        <v>24</v>
      </c>
      <c r="L140" s="30" t="s">
        <v>25</v>
      </c>
      <c r="N140" s="17">
        <f t="shared" si="1"/>
        <v>0</v>
      </c>
    </row>
    <row r="141">
      <c r="A141" s="31" t="s">
        <v>26</v>
      </c>
      <c r="B141" s="33">
        <v>20.0</v>
      </c>
      <c r="C141" s="33">
        <v>36.1</v>
      </c>
      <c r="D141" s="33">
        <v>0.0</v>
      </c>
      <c r="E141" s="33">
        <v>10.4</v>
      </c>
      <c r="F141" s="33">
        <v>19.3</v>
      </c>
      <c r="G141" s="33">
        <v>21.0</v>
      </c>
      <c r="H141" s="21">
        <v>20.0</v>
      </c>
      <c r="I141" s="33">
        <v>12.5</v>
      </c>
      <c r="J141" s="33">
        <v>20.8</v>
      </c>
      <c r="K141" s="33">
        <v>26.0</v>
      </c>
      <c r="L141" s="33">
        <v>88.0</v>
      </c>
      <c r="N141" s="17">
        <f t="shared" si="1"/>
        <v>274.1</v>
      </c>
    </row>
    <row r="142">
      <c r="A142" s="31" t="s">
        <v>27</v>
      </c>
      <c r="B142" s="33">
        <v>8.0</v>
      </c>
      <c r="C142" s="33">
        <v>21.2</v>
      </c>
      <c r="D142" s="33">
        <v>0.0</v>
      </c>
      <c r="E142" s="33">
        <v>0.0</v>
      </c>
      <c r="F142" s="33">
        <v>0.0</v>
      </c>
      <c r="G142" s="33">
        <v>25.0</v>
      </c>
      <c r="H142" s="33">
        <v>10.0</v>
      </c>
      <c r="I142" s="33">
        <v>0.0</v>
      </c>
      <c r="J142" s="33">
        <v>0.0</v>
      </c>
      <c r="K142" s="33">
        <v>1.0</v>
      </c>
      <c r="L142" s="33">
        <v>0.0</v>
      </c>
      <c r="N142" s="17">
        <f t="shared" si="1"/>
        <v>65.2</v>
      </c>
    </row>
    <row r="143">
      <c r="A143" s="34" t="s">
        <v>28</v>
      </c>
      <c r="B143" s="18">
        <f t="shared" ref="B143:L143" si="25">SUM(B141:B142)</f>
        <v>28</v>
      </c>
      <c r="C143" s="18">
        <f t="shared" si="25"/>
        <v>57.3</v>
      </c>
      <c r="D143" s="18">
        <f t="shared" si="25"/>
        <v>0</v>
      </c>
      <c r="E143" s="18">
        <f t="shared" si="25"/>
        <v>10.4</v>
      </c>
      <c r="F143" s="18">
        <f t="shared" si="25"/>
        <v>19.3</v>
      </c>
      <c r="G143" s="18">
        <f t="shared" si="25"/>
        <v>46</v>
      </c>
      <c r="H143" s="18">
        <f t="shared" si="25"/>
        <v>30</v>
      </c>
      <c r="I143" s="18">
        <f t="shared" si="25"/>
        <v>12.5</v>
      </c>
      <c r="J143" s="18">
        <f t="shared" si="25"/>
        <v>20.8</v>
      </c>
      <c r="K143" s="18">
        <f t="shared" si="25"/>
        <v>27</v>
      </c>
      <c r="L143" s="18">
        <f t="shared" si="25"/>
        <v>88</v>
      </c>
      <c r="M143" s="20"/>
      <c r="N143" s="20">
        <f t="shared" si="1"/>
        <v>339.3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N144" s="17">
        <f t="shared" si="1"/>
        <v>0</v>
      </c>
    </row>
    <row r="145">
      <c r="A145" s="35">
        <v>45747.0</v>
      </c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N145" s="17">
        <f t="shared" si="1"/>
        <v>0</v>
      </c>
    </row>
    <row r="146">
      <c r="A146" s="30" t="s">
        <v>14</v>
      </c>
      <c r="B146" s="30" t="s">
        <v>29</v>
      </c>
      <c r="C146" s="30" t="s">
        <v>30</v>
      </c>
      <c r="D146" s="30" t="s">
        <v>17</v>
      </c>
      <c r="E146" s="30" t="s">
        <v>31</v>
      </c>
      <c r="F146" s="30" t="s">
        <v>19</v>
      </c>
      <c r="G146" s="30" t="s">
        <v>20</v>
      </c>
      <c r="H146" s="30" t="s">
        <v>21</v>
      </c>
      <c r="I146" s="30" t="s">
        <v>22</v>
      </c>
      <c r="J146" s="30" t="s">
        <v>23</v>
      </c>
      <c r="K146" s="30" t="s">
        <v>24</v>
      </c>
      <c r="L146" s="30" t="s">
        <v>25</v>
      </c>
      <c r="N146" s="17">
        <f t="shared" si="1"/>
        <v>0</v>
      </c>
    </row>
    <row r="147">
      <c r="A147" s="31" t="s">
        <v>26</v>
      </c>
      <c r="B147" s="33">
        <v>66.0</v>
      </c>
      <c r="C147" s="33">
        <v>23.0</v>
      </c>
      <c r="D147" s="33">
        <v>45.0</v>
      </c>
      <c r="E147" s="33">
        <v>20.4</v>
      </c>
      <c r="F147" s="33">
        <v>18.8</v>
      </c>
      <c r="G147" s="33">
        <v>15.0</v>
      </c>
      <c r="H147" s="33">
        <v>20.0</v>
      </c>
      <c r="I147" s="33">
        <v>13.3</v>
      </c>
      <c r="J147" s="33">
        <v>29.9</v>
      </c>
      <c r="K147" s="33">
        <v>29.0</v>
      </c>
      <c r="L147" s="33">
        <v>78.0</v>
      </c>
      <c r="N147" s="17">
        <f t="shared" si="1"/>
        <v>358.4</v>
      </c>
    </row>
    <row r="148">
      <c r="A148" s="31" t="s">
        <v>27</v>
      </c>
      <c r="B148" s="33">
        <v>30.0</v>
      </c>
      <c r="C148" s="33">
        <v>19.0</v>
      </c>
      <c r="D148" s="33">
        <v>23.0</v>
      </c>
      <c r="E148" s="33">
        <v>14.0</v>
      </c>
      <c r="F148" s="33">
        <v>9.0</v>
      </c>
      <c r="G148" s="33">
        <v>10.0</v>
      </c>
      <c r="H148" s="33">
        <v>10.0</v>
      </c>
      <c r="I148" s="33">
        <v>8.0</v>
      </c>
      <c r="J148" s="33">
        <v>9.0</v>
      </c>
      <c r="K148" s="33">
        <v>1.0</v>
      </c>
      <c r="L148" s="33">
        <v>1.0</v>
      </c>
      <c r="N148" s="17">
        <f t="shared" si="1"/>
        <v>134</v>
      </c>
    </row>
    <row r="149">
      <c r="A149" s="34" t="s">
        <v>28</v>
      </c>
      <c r="B149" s="18">
        <f t="shared" ref="B149:L149" si="26">SUM(B147:B148)</f>
        <v>96</v>
      </c>
      <c r="C149" s="18">
        <f t="shared" si="26"/>
        <v>42</v>
      </c>
      <c r="D149" s="18">
        <f t="shared" si="26"/>
        <v>68</v>
      </c>
      <c r="E149" s="18">
        <f t="shared" si="26"/>
        <v>34.4</v>
      </c>
      <c r="F149" s="18">
        <f t="shared" si="26"/>
        <v>27.8</v>
      </c>
      <c r="G149" s="18">
        <f t="shared" si="26"/>
        <v>25</v>
      </c>
      <c r="H149" s="18">
        <f t="shared" si="26"/>
        <v>30</v>
      </c>
      <c r="I149" s="18">
        <f t="shared" si="26"/>
        <v>21.3</v>
      </c>
      <c r="J149" s="18">
        <f t="shared" si="26"/>
        <v>38.9</v>
      </c>
      <c r="K149" s="18">
        <f t="shared" si="26"/>
        <v>30</v>
      </c>
      <c r="L149" s="18">
        <f t="shared" si="26"/>
        <v>79</v>
      </c>
      <c r="M149" s="20"/>
      <c r="N149" s="20">
        <f t="shared" si="1"/>
        <v>492.4</v>
      </c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2">
      <c r="M152" s="38" t="s">
        <v>32</v>
      </c>
      <c r="N152" s="38">
        <f>sum(N3+N9+N15+N21+N27+N33+N39+N45+N51+N57+N63+N69+N75+N81+N87+N93+N99+N105+N111+N117+N123+N129+N135+N141+N147)</f>
        <v>7040.27</v>
      </c>
      <c r="O152" s="24"/>
    </row>
    <row r="153">
      <c r="M153" s="39" t="s">
        <v>33</v>
      </c>
      <c r="N153" s="40">
        <f>SUM(N4+N10+N16+N22+N28+N34+N40+N46+N52+N58+N64+N70+N76+N82+N88+N94+N100+N106+N112+N118+N124+N130+N136+N142+N148)</f>
        <v>2906.77</v>
      </c>
      <c r="O153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4.63"/>
    <col customWidth="1" min="2" max="2" width="10.25"/>
    <col customWidth="1" min="3" max="3" width="10.88"/>
    <col customWidth="1" min="4" max="4" width="10.25"/>
    <col customWidth="1" min="5" max="5" width="13.38"/>
    <col customWidth="1" min="6" max="10" width="12.88"/>
    <col customWidth="1" min="11" max="11" width="8.13"/>
    <col customWidth="1" min="12" max="12" width="6.0"/>
    <col customWidth="1" min="13" max="13" width="12.13"/>
    <col customWidth="1" min="14" max="26" width="8.63"/>
  </cols>
  <sheetData>
    <row r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4"/>
      <c r="N1" s="24"/>
    </row>
    <row r="2" ht="15.75" customHeight="1">
      <c r="A2" s="37">
        <v>45748.0</v>
      </c>
      <c r="B2" s="41"/>
      <c r="C2" s="29"/>
      <c r="D2" s="29"/>
      <c r="E2" s="29"/>
      <c r="F2" s="29"/>
      <c r="G2" s="29"/>
      <c r="H2" s="29"/>
      <c r="I2" s="29"/>
      <c r="J2" s="29"/>
      <c r="K2" s="29"/>
      <c r="L2" s="29"/>
      <c r="M2" s="42"/>
      <c r="N2" s="29"/>
    </row>
    <row r="3" ht="15.75" customHeight="1">
      <c r="A3" s="30" t="s">
        <v>14</v>
      </c>
      <c r="B3" s="30" t="s">
        <v>29</v>
      </c>
      <c r="C3" s="30" t="s">
        <v>30</v>
      </c>
      <c r="D3" s="30" t="s">
        <v>17</v>
      </c>
      <c r="E3" s="30" t="s">
        <v>31</v>
      </c>
      <c r="F3" s="30" t="s">
        <v>19</v>
      </c>
      <c r="G3" s="13" t="s">
        <v>20</v>
      </c>
      <c r="H3" s="13" t="s">
        <v>21</v>
      </c>
      <c r="I3" s="30" t="s">
        <v>22</v>
      </c>
      <c r="J3" s="30" t="s">
        <v>23</v>
      </c>
      <c r="K3" s="43" t="s">
        <v>24</v>
      </c>
      <c r="L3" s="44" t="s">
        <v>25</v>
      </c>
      <c r="M3" s="42"/>
      <c r="N3" s="29"/>
    </row>
    <row r="4" ht="15.75" customHeight="1">
      <c r="A4" s="32" t="s">
        <v>26</v>
      </c>
      <c r="B4" s="32">
        <v>60.0</v>
      </c>
      <c r="C4" s="33">
        <v>31.4</v>
      </c>
      <c r="D4" s="33">
        <v>20.0</v>
      </c>
      <c r="E4" s="32">
        <v>8.3</v>
      </c>
      <c r="F4" s="32">
        <v>23.9</v>
      </c>
      <c r="G4" s="16">
        <v>15.0</v>
      </c>
      <c r="H4" s="16">
        <v>10.0</v>
      </c>
      <c r="I4" s="32">
        <v>10.2</v>
      </c>
      <c r="J4" s="32">
        <v>27.2</v>
      </c>
      <c r="K4" s="45">
        <v>23.0</v>
      </c>
      <c r="L4" s="45">
        <v>88.0</v>
      </c>
      <c r="M4" s="42"/>
      <c r="N4" s="29">
        <f t="shared" ref="N4:N180" si="1">SUM(B4:L4)</f>
        <v>317</v>
      </c>
    </row>
    <row r="5" ht="15.75" customHeight="1">
      <c r="A5" s="32" t="s">
        <v>27</v>
      </c>
      <c r="B5" s="32">
        <v>18.0</v>
      </c>
      <c r="C5" s="33">
        <v>18.0</v>
      </c>
      <c r="D5" s="33">
        <v>10.0</v>
      </c>
      <c r="E5" s="33">
        <v>0.0</v>
      </c>
      <c r="F5" s="33">
        <v>0.0</v>
      </c>
      <c r="G5" s="16">
        <v>25.0</v>
      </c>
      <c r="H5" s="16">
        <v>20.0</v>
      </c>
      <c r="I5" s="33">
        <v>0.0</v>
      </c>
      <c r="J5" s="33">
        <v>0.0</v>
      </c>
      <c r="K5" s="45">
        <v>3.0</v>
      </c>
      <c r="L5" s="45">
        <v>0.0</v>
      </c>
      <c r="M5" s="42"/>
      <c r="N5" s="29">
        <f t="shared" si="1"/>
        <v>94</v>
      </c>
    </row>
    <row r="6" ht="15.75" customHeight="1">
      <c r="A6" s="34" t="s">
        <v>28</v>
      </c>
      <c r="B6" s="46">
        <f t="shared" ref="B6:L6" si="2">SUM(B4:B5)</f>
        <v>78</v>
      </c>
      <c r="C6" s="46">
        <f t="shared" si="2"/>
        <v>49.4</v>
      </c>
      <c r="D6" s="46">
        <f t="shared" si="2"/>
        <v>30</v>
      </c>
      <c r="E6" s="46">
        <f t="shared" si="2"/>
        <v>8.3</v>
      </c>
      <c r="F6" s="46">
        <f t="shared" si="2"/>
        <v>23.9</v>
      </c>
      <c r="G6" s="18">
        <f t="shared" si="2"/>
        <v>40</v>
      </c>
      <c r="H6" s="18">
        <f t="shared" si="2"/>
        <v>30</v>
      </c>
      <c r="I6" s="46">
        <f t="shared" si="2"/>
        <v>10.2</v>
      </c>
      <c r="J6" s="46">
        <f t="shared" si="2"/>
        <v>27.2</v>
      </c>
      <c r="K6" s="47">
        <f t="shared" si="2"/>
        <v>26</v>
      </c>
      <c r="L6" s="47">
        <f t="shared" si="2"/>
        <v>88</v>
      </c>
      <c r="M6" s="48"/>
      <c r="N6" s="49">
        <f t="shared" si="1"/>
        <v>411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5.75" customHeight="1">
      <c r="A7" s="41"/>
      <c r="B7" s="41"/>
      <c r="C7" s="29"/>
      <c r="D7" s="29"/>
      <c r="E7" s="29"/>
      <c r="F7" s="29"/>
      <c r="I7" s="29"/>
      <c r="J7" s="29"/>
      <c r="K7" s="50"/>
      <c r="L7" s="50"/>
      <c r="M7" s="29"/>
      <c r="N7" s="29">
        <f t="shared" si="1"/>
        <v>0</v>
      </c>
    </row>
    <row r="8" ht="15.75" customHeight="1">
      <c r="A8" s="37">
        <v>45749.0</v>
      </c>
      <c r="B8" s="29"/>
      <c r="C8" s="29"/>
      <c r="D8" s="29"/>
      <c r="E8" s="29"/>
      <c r="F8" s="29"/>
      <c r="G8" s="12"/>
      <c r="H8" s="12"/>
      <c r="I8" s="29"/>
      <c r="J8" s="29"/>
      <c r="K8" s="50"/>
      <c r="L8" s="50"/>
      <c r="M8" s="29"/>
      <c r="N8" s="29">
        <f t="shared" si="1"/>
        <v>0</v>
      </c>
    </row>
    <row r="9" ht="15.75" customHeight="1">
      <c r="A9" s="30" t="s">
        <v>14</v>
      </c>
      <c r="B9" s="30" t="s">
        <v>29</v>
      </c>
      <c r="C9" s="30" t="s">
        <v>30</v>
      </c>
      <c r="D9" s="30" t="s">
        <v>17</v>
      </c>
      <c r="E9" s="30" t="s">
        <v>31</v>
      </c>
      <c r="F9" s="30" t="s">
        <v>19</v>
      </c>
      <c r="G9" s="13" t="s">
        <v>20</v>
      </c>
      <c r="H9" s="13" t="s">
        <v>21</v>
      </c>
      <c r="I9" s="30" t="s">
        <v>22</v>
      </c>
      <c r="J9" s="30" t="s">
        <v>23</v>
      </c>
      <c r="K9" s="43" t="s">
        <v>24</v>
      </c>
      <c r="L9" s="44" t="s">
        <v>25</v>
      </c>
      <c r="M9" s="42"/>
      <c r="N9" s="29">
        <f t="shared" si="1"/>
        <v>0</v>
      </c>
    </row>
    <row r="10" ht="15.75" customHeight="1">
      <c r="A10" s="32" t="s">
        <v>26</v>
      </c>
      <c r="B10" s="32">
        <v>27.0</v>
      </c>
      <c r="C10" s="33">
        <v>31.4</v>
      </c>
      <c r="D10" s="33">
        <v>20.5</v>
      </c>
      <c r="E10" s="32">
        <v>15.2</v>
      </c>
      <c r="F10" s="32">
        <v>14.4</v>
      </c>
      <c r="G10" s="16">
        <v>8.0</v>
      </c>
      <c r="H10" s="16">
        <v>16.0</v>
      </c>
      <c r="I10" s="32">
        <v>12.4</v>
      </c>
      <c r="J10" s="32">
        <v>34.4</v>
      </c>
      <c r="K10" s="45">
        <v>7.0</v>
      </c>
      <c r="L10" s="45">
        <v>89.0</v>
      </c>
      <c r="M10" s="42"/>
      <c r="N10" s="29">
        <f t="shared" si="1"/>
        <v>275.3</v>
      </c>
    </row>
    <row r="11" ht="15.75" customHeight="1">
      <c r="A11" s="32" t="s">
        <v>27</v>
      </c>
      <c r="B11" s="32">
        <v>7.0</v>
      </c>
      <c r="C11" s="33">
        <v>15.0</v>
      </c>
      <c r="D11" s="33">
        <v>15.0</v>
      </c>
      <c r="E11" s="33">
        <v>0.0</v>
      </c>
      <c r="F11" s="33">
        <v>0.0</v>
      </c>
      <c r="G11" s="16">
        <v>21.0</v>
      </c>
      <c r="H11" s="16">
        <v>6.0</v>
      </c>
      <c r="I11" s="33">
        <v>0.0</v>
      </c>
      <c r="J11" s="33">
        <v>0.0</v>
      </c>
      <c r="K11" s="45">
        <v>2.0</v>
      </c>
      <c r="L11" s="45">
        <v>2.0</v>
      </c>
      <c r="M11" s="42"/>
      <c r="N11" s="29">
        <f t="shared" si="1"/>
        <v>68</v>
      </c>
    </row>
    <row r="12" ht="15.75" customHeight="1">
      <c r="A12" s="34" t="s">
        <v>28</v>
      </c>
      <c r="B12" s="46">
        <f t="shared" ref="B12:L12" si="3">SUM(B10:B11)</f>
        <v>34</v>
      </c>
      <c r="C12" s="46">
        <f t="shared" si="3"/>
        <v>46.4</v>
      </c>
      <c r="D12" s="46">
        <f t="shared" si="3"/>
        <v>35.5</v>
      </c>
      <c r="E12" s="46">
        <f t="shared" si="3"/>
        <v>15.2</v>
      </c>
      <c r="F12" s="46">
        <f t="shared" si="3"/>
        <v>14.4</v>
      </c>
      <c r="G12" s="18">
        <f t="shared" si="3"/>
        <v>29</v>
      </c>
      <c r="H12" s="18">
        <f t="shared" si="3"/>
        <v>22</v>
      </c>
      <c r="I12" s="46">
        <f t="shared" si="3"/>
        <v>12.4</v>
      </c>
      <c r="J12" s="46">
        <f t="shared" si="3"/>
        <v>34.4</v>
      </c>
      <c r="K12" s="47">
        <f t="shared" si="3"/>
        <v>9</v>
      </c>
      <c r="L12" s="47">
        <f t="shared" si="3"/>
        <v>91</v>
      </c>
      <c r="M12" s="51"/>
      <c r="N12" s="49">
        <f t="shared" si="1"/>
        <v>343.3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5.75" customHeight="1">
      <c r="A13" s="29"/>
      <c r="B13" s="29"/>
      <c r="C13" s="29"/>
      <c r="D13" s="29"/>
      <c r="E13" s="29"/>
      <c r="F13" s="29"/>
      <c r="I13" s="29"/>
      <c r="J13" s="29"/>
      <c r="K13" s="50"/>
      <c r="L13" s="50"/>
      <c r="M13" s="42"/>
      <c r="N13" s="29">
        <f t="shared" si="1"/>
        <v>0</v>
      </c>
    </row>
    <row r="14" ht="15.75" customHeight="1">
      <c r="A14" s="37">
        <v>45750.0</v>
      </c>
      <c r="B14" s="29"/>
      <c r="C14" s="29"/>
      <c r="D14" s="29"/>
      <c r="E14" s="29"/>
      <c r="F14" s="29"/>
      <c r="G14" s="12"/>
      <c r="H14" s="12"/>
      <c r="I14" s="29"/>
      <c r="J14" s="29"/>
      <c r="K14" s="50"/>
      <c r="L14" s="50"/>
      <c r="M14" s="42"/>
      <c r="N14" s="29">
        <f t="shared" si="1"/>
        <v>0</v>
      </c>
    </row>
    <row r="15" ht="15.75" customHeight="1">
      <c r="A15" s="30" t="s">
        <v>14</v>
      </c>
      <c r="B15" s="30" t="s">
        <v>29</v>
      </c>
      <c r="C15" s="30" t="s">
        <v>30</v>
      </c>
      <c r="D15" s="30" t="s">
        <v>17</v>
      </c>
      <c r="E15" s="30" t="s">
        <v>31</v>
      </c>
      <c r="F15" s="30" t="s">
        <v>19</v>
      </c>
      <c r="G15" s="13" t="s">
        <v>20</v>
      </c>
      <c r="H15" s="13" t="s">
        <v>21</v>
      </c>
      <c r="I15" s="30" t="s">
        <v>22</v>
      </c>
      <c r="J15" s="30" t="s">
        <v>23</v>
      </c>
      <c r="K15" s="43" t="s">
        <v>24</v>
      </c>
      <c r="L15" s="44" t="s">
        <v>25</v>
      </c>
      <c r="M15" s="42"/>
      <c r="N15" s="29">
        <f t="shared" si="1"/>
        <v>0</v>
      </c>
    </row>
    <row r="16" ht="15.75" customHeight="1">
      <c r="A16" s="32" t="s">
        <v>26</v>
      </c>
      <c r="B16" s="32">
        <v>42.0</v>
      </c>
      <c r="C16" s="32">
        <v>15.2</v>
      </c>
      <c r="D16" s="33">
        <v>16.5</v>
      </c>
      <c r="E16" s="32">
        <v>20.0</v>
      </c>
      <c r="F16" s="32">
        <v>13.4</v>
      </c>
      <c r="G16" s="16">
        <v>6.0</v>
      </c>
      <c r="H16" s="16">
        <v>14.0</v>
      </c>
      <c r="I16" s="32">
        <v>27.6</v>
      </c>
      <c r="J16" s="32">
        <v>24.3</v>
      </c>
      <c r="K16" s="45">
        <v>25.0</v>
      </c>
      <c r="L16" s="45">
        <v>90.0</v>
      </c>
      <c r="M16" s="42"/>
      <c r="N16" s="29">
        <f t="shared" si="1"/>
        <v>294</v>
      </c>
    </row>
    <row r="17" ht="15.75" customHeight="1">
      <c r="A17" s="32" t="s">
        <v>27</v>
      </c>
      <c r="B17" s="32">
        <v>16.0</v>
      </c>
      <c r="C17" s="32">
        <v>10.1</v>
      </c>
      <c r="D17" s="52">
        <v>9.5</v>
      </c>
      <c r="E17" s="33">
        <v>0.0</v>
      </c>
      <c r="F17" s="33">
        <v>0.0</v>
      </c>
      <c r="G17" s="16">
        <v>21.0</v>
      </c>
      <c r="H17" s="16">
        <v>8.0</v>
      </c>
      <c r="I17" s="33">
        <v>0.0</v>
      </c>
      <c r="J17" s="33">
        <v>0.0</v>
      </c>
      <c r="K17" s="45">
        <v>2.0</v>
      </c>
      <c r="L17" s="45">
        <v>0.0</v>
      </c>
      <c r="M17" s="42"/>
      <c r="N17" s="29">
        <f t="shared" si="1"/>
        <v>66.6</v>
      </c>
    </row>
    <row r="18" ht="15.75" customHeight="1">
      <c r="A18" s="34" t="s">
        <v>28</v>
      </c>
      <c r="B18" s="46">
        <f t="shared" ref="B18:L18" si="4">SUM(B16:B17)</f>
        <v>58</v>
      </c>
      <c r="C18" s="46">
        <f t="shared" si="4"/>
        <v>25.3</v>
      </c>
      <c r="D18" s="46">
        <f t="shared" si="4"/>
        <v>26</v>
      </c>
      <c r="E18" s="46">
        <f t="shared" si="4"/>
        <v>20</v>
      </c>
      <c r="F18" s="46">
        <f t="shared" si="4"/>
        <v>13.4</v>
      </c>
      <c r="G18" s="18">
        <f t="shared" si="4"/>
        <v>27</v>
      </c>
      <c r="H18" s="18">
        <f t="shared" si="4"/>
        <v>22</v>
      </c>
      <c r="I18" s="46">
        <f t="shared" si="4"/>
        <v>27.6</v>
      </c>
      <c r="J18" s="46">
        <f t="shared" si="4"/>
        <v>24.3</v>
      </c>
      <c r="K18" s="47">
        <f t="shared" si="4"/>
        <v>27</v>
      </c>
      <c r="L18" s="47">
        <f t="shared" si="4"/>
        <v>90</v>
      </c>
      <c r="M18" s="51"/>
      <c r="N18" s="49">
        <f t="shared" si="1"/>
        <v>360.6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5.75" customHeight="1">
      <c r="A19" s="29"/>
      <c r="B19" s="29"/>
      <c r="C19" s="29"/>
      <c r="D19" s="29"/>
      <c r="E19" s="29"/>
      <c r="F19" s="29"/>
      <c r="I19" s="29"/>
      <c r="J19" s="29"/>
      <c r="K19" s="50"/>
      <c r="L19" s="50"/>
      <c r="M19" s="42"/>
      <c r="N19" s="29">
        <f t="shared" si="1"/>
        <v>0</v>
      </c>
    </row>
    <row r="20" ht="15.75" customHeight="1">
      <c r="A20" s="37">
        <v>45751.0</v>
      </c>
      <c r="B20" s="29"/>
      <c r="C20" s="29"/>
      <c r="D20" s="29"/>
      <c r="E20" s="29"/>
      <c r="F20" s="29"/>
      <c r="G20" s="12"/>
      <c r="H20" s="12"/>
      <c r="I20" s="29"/>
      <c r="J20" s="29"/>
      <c r="K20" s="50"/>
      <c r="L20" s="50"/>
      <c r="M20" s="42"/>
      <c r="N20" s="29">
        <f t="shared" si="1"/>
        <v>0</v>
      </c>
    </row>
    <row r="21" ht="15.75" customHeight="1">
      <c r="A21" s="30" t="s">
        <v>14</v>
      </c>
      <c r="B21" s="30" t="s">
        <v>29</v>
      </c>
      <c r="C21" s="30" t="s">
        <v>30</v>
      </c>
      <c r="D21" s="30" t="s">
        <v>17</v>
      </c>
      <c r="E21" s="30" t="s">
        <v>31</v>
      </c>
      <c r="F21" s="30" t="s">
        <v>19</v>
      </c>
      <c r="G21" s="13" t="s">
        <v>20</v>
      </c>
      <c r="H21" s="13" t="s">
        <v>21</v>
      </c>
      <c r="I21" s="30" t="s">
        <v>22</v>
      </c>
      <c r="J21" s="30" t="s">
        <v>23</v>
      </c>
      <c r="K21" s="43" t="s">
        <v>24</v>
      </c>
      <c r="L21" s="44" t="s">
        <v>25</v>
      </c>
      <c r="M21" s="42"/>
      <c r="N21" s="29">
        <f t="shared" si="1"/>
        <v>0</v>
      </c>
    </row>
    <row r="22" ht="15.75" customHeight="1">
      <c r="A22" s="31" t="s">
        <v>26</v>
      </c>
      <c r="B22" s="32">
        <v>64.0</v>
      </c>
      <c r="C22" s="32">
        <v>21.1</v>
      </c>
      <c r="D22" s="33">
        <v>10.5</v>
      </c>
      <c r="E22" s="32">
        <v>11.4</v>
      </c>
      <c r="F22" s="32">
        <v>19.2</v>
      </c>
      <c r="G22" s="16">
        <v>15.0</v>
      </c>
      <c r="H22" s="16">
        <v>17.0</v>
      </c>
      <c r="I22" s="32">
        <v>16.4</v>
      </c>
      <c r="J22" s="32">
        <v>20.2</v>
      </c>
      <c r="K22" s="45">
        <v>8.0</v>
      </c>
      <c r="L22" s="45">
        <v>80.0</v>
      </c>
      <c r="M22" s="42"/>
      <c r="N22" s="29">
        <f t="shared" si="1"/>
        <v>282.8</v>
      </c>
    </row>
    <row r="23" ht="15.75" customHeight="1">
      <c r="A23" s="31" t="s">
        <v>27</v>
      </c>
      <c r="B23" s="32">
        <v>50.0</v>
      </c>
      <c r="C23" s="32">
        <v>14.3</v>
      </c>
      <c r="D23" s="33">
        <v>6.0</v>
      </c>
      <c r="E23" s="33">
        <v>16.0</v>
      </c>
      <c r="F23" s="33">
        <v>9.0</v>
      </c>
      <c r="G23" s="16">
        <v>17.0</v>
      </c>
      <c r="H23" s="16">
        <v>5.0</v>
      </c>
      <c r="I23" s="33">
        <v>15.0</v>
      </c>
      <c r="J23" s="33">
        <v>8.0</v>
      </c>
      <c r="K23" s="45">
        <v>0.0</v>
      </c>
      <c r="L23" s="45">
        <v>2.0</v>
      </c>
      <c r="M23" s="42"/>
      <c r="N23" s="29">
        <f t="shared" si="1"/>
        <v>142.3</v>
      </c>
    </row>
    <row r="24" ht="15.75" customHeight="1">
      <c r="A24" s="34" t="s">
        <v>28</v>
      </c>
      <c r="B24" s="46">
        <f t="shared" ref="B24:L24" si="5">SUM(B22:B23)</f>
        <v>114</v>
      </c>
      <c r="C24" s="46">
        <f t="shared" si="5"/>
        <v>35.4</v>
      </c>
      <c r="D24" s="46">
        <f t="shared" si="5"/>
        <v>16.5</v>
      </c>
      <c r="E24" s="46">
        <f t="shared" si="5"/>
        <v>27.4</v>
      </c>
      <c r="F24" s="46">
        <f t="shared" si="5"/>
        <v>28.2</v>
      </c>
      <c r="G24" s="18">
        <f t="shared" si="5"/>
        <v>32</v>
      </c>
      <c r="H24" s="18">
        <f t="shared" si="5"/>
        <v>22</v>
      </c>
      <c r="I24" s="46">
        <f t="shared" si="5"/>
        <v>31.4</v>
      </c>
      <c r="J24" s="46">
        <f t="shared" si="5"/>
        <v>28.2</v>
      </c>
      <c r="K24" s="47">
        <f t="shared" si="5"/>
        <v>8</v>
      </c>
      <c r="L24" s="47">
        <f t="shared" si="5"/>
        <v>82</v>
      </c>
      <c r="M24" s="51"/>
      <c r="N24" s="49">
        <f t="shared" si="1"/>
        <v>425.1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29"/>
      <c r="B25" s="29"/>
      <c r="C25" s="29"/>
      <c r="D25" s="29"/>
      <c r="E25" s="29"/>
      <c r="F25" s="29"/>
      <c r="I25" s="29"/>
      <c r="J25" s="29"/>
      <c r="K25" s="50"/>
      <c r="L25" s="50"/>
      <c r="M25" s="42"/>
      <c r="N25" s="29">
        <f t="shared" si="1"/>
        <v>0</v>
      </c>
    </row>
    <row r="26" ht="15.75" customHeight="1">
      <c r="A26" s="37">
        <v>45752.0</v>
      </c>
      <c r="B26" s="29"/>
      <c r="C26" s="29"/>
      <c r="D26" s="29"/>
      <c r="E26" s="29"/>
      <c r="F26" s="29"/>
      <c r="G26" s="12"/>
      <c r="H26" s="12"/>
      <c r="I26" s="29"/>
      <c r="J26" s="29"/>
      <c r="K26" s="50"/>
      <c r="L26" s="50"/>
      <c r="M26" s="42"/>
      <c r="N26" s="29">
        <f t="shared" si="1"/>
        <v>0</v>
      </c>
    </row>
    <row r="27" ht="15.75" customHeight="1">
      <c r="A27" s="30" t="s">
        <v>14</v>
      </c>
      <c r="B27" s="30" t="s">
        <v>29</v>
      </c>
      <c r="C27" s="30" t="s">
        <v>30</v>
      </c>
      <c r="D27" s="30" t="s">
        <v>17</v>
      </c>
      <c r="E27" s="30" t="s">
        <v>31</v>
      </c>
      <c r="F27" s="30" t="s">
        <v>19</v>
      </c>
      <c r="G27" s="13" t="s">
        <v>20</v>
      </c>
      <c r="H27" s="13" t="s">
        <v>21</v>
      </c>
      <c r="I27" s="30" t="s">
        <v>22</v>
      </c>
      <c r="J27" s="30" t="s">
        <v>23</v>
      </c>
      <c r="K27" s="43" t="s">
        <v>24</v>
      </c>
      <c r="L27" s="44" t="s">
        <v>25</v>
      </c>
      <c r="M27" s="42"/>
      <c r="N27" s="29">
        <f t="shared" si="1"/>
        <v>0</v>
      </c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ht="15.75" customHeight="1">
      <c r="A28" s="31" t="s">
        <v>26</v>
      </c>
      <c r="B28" s="32">
        <v>74.0</v>
      </c>
      <c r="C28" s="33">
        <v>33.0</v>
      </c>
      <c r="D28" s="33">
        <v>19.5</v>
      </c>
      <c r="E28" s="32">
        <v>8.2</v>
      </c>
      <c r="F28" s="32">
        <v>13.0</v>
      </c>
      <c r="G28" s="16">
        <v>15.0</v>
      </c>
      <c r="H28" s="16">
        <v>15.0</v>
      </c>
      <c r="I28" s="32">
        <v>22.3</v>
      </c>
      <c r="J28" s="32">
        <v>10.2</v>
      </c>
      <c r="K28" s="45">
        <v>8.0</v>
      </c>
      <c r="L28" s="45">
        <v>28.0</v>
      </c>
      <c r="M28" s="42"/>
      <c r="N28" s="29">
        <f t="shared" si="1"/>
        <v>246.2</v>
      </c>
    </row>
    <row r="29" ht="15.75" customHeight="1">
      <c r="A29" s="31" t="s">
        <v>27</v>
      </c>
      <c r="B29" s="32">
        <v>32.0</v>
      </c>
      <c r="C29" s="33">
        <v>18.0</v>
      </c>
      <c r="D29" s="33">
        <v>12.0</v>
      </c>
      <c r="E29" s="33">
        <v>10.0</v>
      </c>
      <c r="F29" s="33">
        <v>17.0</v>
      </c>
      <c r="G29" s="16">
        <v>18.0</v>
      </c>
      <c r="H29" s="16">
        <v>5.0</v>
      </c>
      <c r="I29" s="33">
        <v>10.0</v>
      </c>
      <c r="J29" s="33">
        <v>9.0</v>
      </c>
      <c r="K29" s="45">
        <v>2.0</v>
      </c>
      <c r="L29" s="45">
        <v>2.0</v>
      </c>
      <c r="M29" s="42"/>
      <c r="N29" s="29">
        <f t="shared" si="1"/>
        <v>135</v>
      </c>
    </row>
    <row r="30" ht="15.75" customHeight="1">
      <c r="A30" s="34" t="s">
        <v>28</v>
      </c>
      <c r="B30" s="46">
        <f t="shared" ref="B30:L30" si="6">SUM(B28:B29)</f>
        <v>106</v>
      </c>
      <c r="C30" s="46">
        <f t="shared" si="6"/>
        <v>51</v>
      </c>
      <c r="D30" s="46">
        <f t="shared" si="6"/>
        <v>31.5</v>
      </c>
      <c r="E30" s="46">
        <f t="shared" si="6"/>
        <v>18.2</v>
      </c>
      <c r="F30" s="46">
        <f t="shared" si="6"/>
        <v>30</v>
      </c>
      <c r="G30" s="18">
        <f t="shared" si="6"/>
        <v>33</v>
      </c>
      <c r="H30" s="18">
        <f t="shared" si="6"/>
        <v>20</v>
      </c>
      <c r="I30" s="46">
        <f t="shared" si="6"/>
        <v>32.3</v>
      </c>
      <c r="J30" s="46">
        <f t="shared" si="6"/>
        <v>19.2</v>
      </c>
      <c r="K30" s="47">
        <f t="shared" si="6"/>
        <v>10</v>
      </c>
      <c r="L30" s="47">
        <f t="shared" si="6"/>
        <v>30</v>
      </c>
      <c r="M30" s="51"/>
      <c r="N30" s="49">
        <f t="shared" si="1"/>
        <v>381.2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29"/>
      <c r="B31" s="29"/>
      <c r="C31" s="29"/>
      <c r="D31" s="29"/>
      <c r="E31" s="29"/>
      <c r="F31" s="29"/>
      <c r="I31" s="29"/>
      <c r="J31" s="29"/>
      <c r="K31" s="50"/>
      <c r="L31" s="50"/>
      <c r="M31" s="42"/>
      <c r="N31" s="29">
        <f t="shared" si="1"/>
        <v>0</v>
      </c>
    </row>
    <row r="32" ht="15.75" customHeight="1">
      <c r="A32" s="37">
        <v>45753.0</v>
      </c>
      <c r="B32" s="29"/>
      <c r="C32" s="29"/>
      <c r="D32" s="29"/>
      <c r="E32" s="29"/>
      <c r="F32" s="29"/>
      <c r="G32" s="12"/>
      <c r="H32" s="12"/>
      <c r="I32" s="29"/>
      <c r="J32" s="29"/>
      <c r="K32" s="50"/>
      <c r="L32" s="50"/>
      <c r="M32" s="42"/>
      <c r="N32" s="29">
        <f t="shared" si="1"/>
        <v>0</v>
      </c>
    </row>
    <row r="33" ht="15.75" customHeight="1">
      <c r="A33" s="30" t="s">
        <v>14</v>
      </c>
      <c r="B33" s="30" t="s">
        <v>29</v>
      </c>
      <c r="C33" s="30" t="s">
        <v>30</v>
      </c>
      <c r="D33" s="30" t="s">
        <v>17</v>
      </c>
      <c r="E33" s="30" t="s">
        <v>31</v>
      </c>
      <c r="F33" s="30" t="s">
        <v>19</v>
      </c>
      <c r="G33" s="13" t="s">
        <v>20</v>
      </c>
      <c r="H33" s="13" t="s">
        <v>21</v>
      </c>
      <c r="I33" s="30" t="s">
        <v>22</v>
      </c>
      <c r="J33" s="30" t="s">
        <v>23</v>
      </c>
      <c r="K33" s="43" t="s">
        <v>24</v>
      </c>
      <c r="L33" s="44" t="s">
        <v>25</v>
      </c>
      <c r="M33" s="42"/>
      <c r="N33" s="29">
        <f t="shared" si="1"/>
        <v>0</v>
      </c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ht="15.75" customHeight="1">
      <c r="A34" s="31" t="s">
        <v>26</v>
      </c>
      <c r="B34" s="32">
        <v>93.0</v>
      </c>
      <c r="C34" s="33">
        <v>35.0</v>
      </c>
      <c r="D34" s="33">
        <v>17.0</v>
      </c>
      <c r="E34" s="32">
        <v>18.0</v>
      </c>
      <c r="F34" s="32">
        <v>14.8</v>
      </c>
      <c r="G34" s="16">
        <v>14.0</v>
      </c>
      <c r="H34" s="16">
        <v>20.0</v>
      </c>
      <c r="I34" s="32">
        <v>27.0</v>
      </c>
      <c r="J34" s="33">
        <v>19.0</v>
      </c>
      <c r="K34" s="45">
        <v>8.0</v>
      </c>
      <c r="L34" s="45">
        <v>20.0</v>
      </c>
      <c r="M34" s="42"/>
      <c r="N34" s="29">
        <f t="shared" si="1"/>
        <v>285.8</v>
      </c>
    </row>
    <row r="35" ht="15.75" customHeight="1">
      <c r="A35" s="31" t="s">
        <v>27</v>
      </c>
      <c r="B35" s="32">
        <v>52.0</v>
      </c>
      <c r="C35" s="33">
        <v>16.5</v>
      </c>
      <c r="D35" s="33">
        <v>16.0</v>
      </c>
      <c r="E35" s="33">
        <v>0.0</v>
      </c>
      <c r="F35" s="33">
        <v>0.0</v>
      </c>
      <c r="G35" s="16">
        <v>15.0</v>
      </c>
      <c r="H35" s="16">
        <v>8.0</v>
      </c>
      <c r="I35" s="33">
        <v>0.0</v>
      </c>
      <c r="J35" s="33">
        <v>0.0</v>
      </c>
      <c r="K35" s="45">
        <v>0.0</v>
      </c>
      <c r="L35" s="45">
        <v>1.0</v>
      </c>
      <c r="M35" s="42"/>
      <c r="N35" s="29">
        <f t="shared" si="1"/>
        <v>108.5</v>
      </c>
    </row>
    <row r="36" ht="15.75" customHeight="1">
      <c r="A36" s="34" t="s">
        <v>28</v>
      </c>
      <c r="B36" s="46">
        <f t="shared" ref="B36:L36" si="7">SUM(B34:B35)</f>
        <v>145</v>
      </c>
      <c r="C36" s="46">
        <f t="shared" si="7"/>
        <v>51.5</v>
      </c>
      <c r="D36" s="46">
        <f t="shared" si="7"/>
        <v>33</v>
      </c>
      <c r="E36" s="46">
        <f t="shared" si="7"/>
        <v>18</v>
      </c>
      <c r="F36" s="46">
        <f t="shared" si="7"/>
        <v>14.8</v>
      </c>
      <c r="G36" s="18">
        <f t="shared" si="7"/>
        <v>29</v>
      </c>
      <c r="H36" s="18">
        <f t="shared" si="7"/>
        <v>28</v>
      </c>
      <c r="I36" s="46">
        <f t="shared" si="7"/>
        <v>27</v>
      </c>
      <c r="J36" s="46">
        <f t="shared" si="7"/>
        <v>19</v>
      </c>
      <c r="K36" s="47">
        <f t="shared" si="7"/>
        <v>8</v>
      </c>
      <c r="L36" s="47">
        <f t="shared" si="7"/>
        <v>21</v>
      </c>
      <c r="M36" s="48"/>
      <c r="N36" s="49">
        <f t="shared" si="1"/>
        <v>394.3</v>
      </c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9"/>
      <c r="B37" s="29"/>
      <c r="C37" s="29"/>
      <c r="D37" s="29"/>
      <c r="E37" s="29"/>
      <c r="F37" s="29"/>
      <c r="I37" s="29"/>
      <c r="J37" s="29"/>
      <c r="K37" s="54"/>
      <c r="L37" s="54"/>
      <c r="M37" s="42"/>
      <c r="N37" s="29">
        <f t="shared" si="1"/>
        <v>0</v>
      </c>
    </row>
    <row r="38" ht="15.75" customHeight="1">
      <c r="A38" s="37">
        <v>45754.0</v>
      </c>
      <c r="B38" s="29"/>
      <c r="C38" s="29"/>
      <c r="D38" s="29"/>
      <c r="E38" s="29"/>
      <c r="F38" s="29"/>
      <c r="G38" s="12"/>
      <c r="H38" s="12"/>
      <c r="I38" s="29"/>
      <c r="J38" s="29"/>
      <c r="K38" s="50"/>
      <c r="L38" s="50"/>
      <c r="M38" s="42"/>
      <c r="N38" s="29">
        <f t="shared" si="1"/>
        <v>0</v>
      </c>
    </row>
    <row r="39" ht="15.75" customHeight="1">
      <c r="A39" s="30" t="s">
        <v>14</v>
      </c>
      <c r="B39" s="30" t="s">
        <v>29</v>
      </c>
      <c r="C39" s="30" t="s">
        <v>30</v>
      </c>
      <c r="D39" s="30" t="s">
        <v>17</v>
      </c>
      <c r="E39" s="30" t="s">
        <v>31</v>
      </c>
      <c r="F39" s="30" t="s">
        <v>19</v>
      </c>
      <c r="G39" s="13" t="s">
        <v>20</v>
      </c>
      <c r="H39" s="13" t="s">
        <v>21</v>
      </c>
      <c r="I39" s="30" t="s">
        <v>22</v>
      </c>
      <c r="J39" s="30" t="s">
        <v>23</v>
      </c>
      <c r="K39" s="44" t="s">
        <v>24</v>
      </c>
      <c r="L39" s="44" t="s">
        <v>25</v>
      </c>
      <c r="M39" s="42"/>
      <c r="N39" s="29">
        <f t="shared" si="1"/>
        <v>0</v>
      </c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ht="15.75" customHeight="1">
      <c r="A40" s="31" t="s">
        <v>26</v>
      </c>
      <c r="B40" s="32">
        <v>71.0</v>
      </c>
      <c r="C40" s="33">
        <v>30.5</v>
      </c>
      <c r="D40" s="32">
        <v>55.0</v>
      </c>
      <c r="E40" s="32">
        <v>10.4</v>
      </c>
      <c r="F40" s="32">
        <v>18.9</v>
      </c>
      <c r="G40" s="16">
        <v>13.0</v>
      </c>
      <c r="H40" s="16">
        <v>12.0</v>
      </c>
      <c r="I40" s="32">
        <v>25.0</v>
      </c>
      <c r="J40" s="32">
        <v>18.0</v>
      </c>
      <c r="K40" s="45">
        <v>25.0</v>
      </c>
      <c r="L40" s="55">
        <v>80.0</v>
      </c>
      <c r="M40" s="42"/>
      <c r="N40" s="29">
        <f t="shared" si="1"/>
        <v>358.8</v>
      </c>
    </row>
    <row r="41" ht="15.75" customHeight="1">
      <c r="A41" s="31" t="s">
        <v>27</v>
      </c>
      <c r="B41" s="32">
        <v>31.0</v>
      </c>
      <c r="C41" s="33">
        <v>11.1</v>
      </c>
      <c r="D41" s="32">
        <v>30.0</v>
      </c>
      <c r="E41" s="32">
        <v>44.34</v>
      </c>
      <c r="F41" s="32">
        <v>44.34</v>
      </c>
      <c r="G41" s="16">
        <v>12.0</v>
      </c>
      <c r="H41" s="16">
        <v>5.0</v>
      </c>
      <c r="I41" s="32">
        <v>45.0</v>
      </c>
      <c r="J41" s="32">
        <v>45.0</v>
      </c>
      <c r="K41" s="45">
        <v>2.0</v>
      </c>
      <c r="L41" s="45">
        <v>0.0</v>
      </c>
      <c r="M41" s="42"/>
      <c r="N41" s="29">
        <f t="shared" si="1"/>
        <v>269.78</v>
      </c>
    </row>
    <row r="42" ht="15.75" customHeight="1">
      <c r="A42" s="34" t="s">
        <v>28</v>
      </c>
      <c r="B42" s="46">
        <f t="shared" ref="B42:L42" si="8">SUM(B40:B41)</f>
        <v>102</v>
      </c>
      <c r="C42" s="46">
        <f t="shared" si="8"/>
        <v>41.6</v>
      </c>
      <c r="D42" s="46">
        <f t="shared" si="8"/>
        <v>85</v>
      </c>
      <c r="E42" s="46">
        <f t="shared" si="8"/>
        <v>54.74</v>
      </c>
      <c r="F42" s="46">
        <f t="shared" si="8"/>
        <v>63.24</v>
      </c>
      <c r="G42" s="18">
        <f t="shared" si="8"/>
        <v>25</v>
      </c>
      <c r="H42" s="18">
        <f t="shared" si="8"/>
        <v>17</v>
      </c>
      <c r="I42" s="46">
        <f t="shared" si="8"/>
        <v>70</v>
      </c>
      <c r="J42" s="46">
        <f t="shared" si="8"/>
        <v>63</v>
      </c>
      <c r="K42" s="47">
        <f t="shared" si="8"/>
        <v>27</v>
      </c>
      <c r="L42" s="47">
        <f t="shared" si="8"/>
        <v>80</v>
      </c>
      <c r="M42" s="48"/>
      <c r="N42" s="49">
        <f t="shared" si="1"/>
        <v>628.58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29"/>
      <c r="B43" s="29"/>
      <c r="C43" s="29"/>
      <c r="D43" s="29"/>
      <c r="E43" s="29"/>
      <c r="F43" s="29"/>
      <c r="G43" s="23"/>
      <c r="H43" s="23"/>
      <c r="I43" s="29"/>
      <c r="J43" s="29"/>
      <c r="K43" s="50"/>
      <c r="L43" s="50"/>
      <c r="M43" s="42"/>
      <c r="N43" s="29">
        <f t="shared" si="1"/>
        <v>0</v>
      </c>
    </row>
    <row r="44" ht="15.75" customHeight="1">
      <c r="A44" s="37">
        <v>45755.0</v>
      </c>
      <c r="B44" s="29"/>
      <c r="C44" s="29"/>
      <c r="D44" s="29"/>
      <c r="E44" s="29"/>
      <c r="F44" s="29"/>
      <c r="G44" s="12"/>
      <c r="H44" s="12"/>
      <c r="I44" s="29"/>
      <c r="J44" s="29"/>
      <c r="K44" s="50"/>
      <c r="L44" s="50"/>
      <c r="M44" s="42"/>
      <c r="N44" s="29">
        <f t="shared" si="1"/>
        <v>0</v>
      </c>
    </row>
    <row r="45" ht="15.75" customHeight="1">
      <c r="A45" s="56" t="s">
        <v>14</v>
      </c>
      <c r="B45" s="30" t="s">
        <v>29</v>
      </c>
      <c r="C45" s="30" t="s">
        <v>30</v>
      </c>
      <c r="D45" s="30" t="s">
        <v>17</v>
      </c>
      <c r="E45" s="30" t="s">
        <v>31</v>
      </c>
      <c r="F45" s="30" t="s">
        <v>19</v>
      </c>
      <c r="G45" s="13" t="s">
        <v>20</v>
      </c>
      <c r="H45" s="13" t="s">
        <v>21</v>
      </c>
      <c r="I45" s="30" t="s">
        <v>22</v>
      </c>
      <c r="J45" s="30" t="s">
        <v>23</v>
      </c>
      <c r="K45" s="44" t="s">
        <v>24</v>
      </c>
      <c r="L45" s="44" t="s">
        <v>25</v>
      </c>
      <c r="M45" s="42"/>
      <c r="N45" s="29">
        <f t="shared" si="1"/>
        <v>0</v>
      </c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15.75" customHeight="1">
      <c r="A46" s="31" t="s">
        <v>26</v>
      </c>
      <c r="B46" s="33">
        <v>60.0</v>
      </c>
      <c r="C46" s="33">
        <v>31.0</v>
      </c>
      <c r="D46" s="33">
        <v>16.8</v>
      </c>
      <c r="E46" s="32">
        <v>11.0</v>
      </c>
      <c r="F46" s="32">
        <v>12.3</v>
      </c>
      <c r="G46" s="16">
        <v>25.0</v>
      </c>
      <c r="H46" s="16">
        <v>17.0</v>
      </c>
      <c r="I46" s="32">
        <v>25.0</v>
      </c>
      <c r="J46" s="32">
        <v>42.0</v>
      </c>
      <c r="K46" s="45">
        <v>8.0</v>
      </c>
      <c r="L46" s="45">
        <v>70.0</v>
      </c>
      <c r="M46" s="42"/>
      <c r="N46" s="29">
        <f t="shared" si="1"/>
        <v>318.1</v>
      </c>
    </row>
    <row r="47" ht="15.75" customHeight="1">
      <c r="A47" s="31" t="s">
        <v>27</v>
      </c>
      <c r="B47" s="33">
        <v>34.0</v>
      </c>
      <c r="C47" s="33">
        <v>14.0</v>
      </c>
      <c r="D47" s="33">
        <v>17.8</v>
      </c>
      <c r="E47" s="33">
        <v>0.0</v>
      </c>
      <c r="F47" s="33">
        <v>0.0</v>
      </c>
      <c r="G47" s="16">
        <v>17.0</v>
      </c>
      <c r="H47" s="16">
        <v>10.0</v>
      </c>
      <c r="I47" s="33">
        <v>0.0</v>
      </c>
      <c r="J47" s="33">
        <v>0.0</v>
      </c>
      <c r="K47" s="45">
        <v>0.0</v>
      </c>
      <c r="L47" s="45">
        <v>1.0</v>
      </c>
      <c r="M47" s="42"/>
      <c r="N47" s="29">
        <f t="shared" si="1"/>
        <v>93.8</v>
      </c>
    </row>
    <row r="48" ht="15.75" customHeight="1">
      <c r="A48" s="34" t="s">
        <v>28</v>
      </c>
      <c r="B48" s="46">
        <f t="shared" ref="B48:L48" si="9">SUM(B46:B47)</f>
        <v>94</v>
      </c>
      <c r="C48" s="46">
        <f t="shared" si="9"/>
        <v>45</v>
      </c>
      <c r="D48" s="46">
        <f t="shared" si="9"/>
        <v>34.6</v>
      </c>
      <c r="E48" s="46">
        <f t="shared" si="9"/>
        <v>11</v>
      </c>
      <c r="F48" s="46">
        <f t="shared" si="9"/>
        <v>12.3</v>
      </c>
      <c r="G48" s="18">
        <f t="shared" si="9"/>
        <v>42</v>
      </c>
      <c r="H48" s="18">
        <f t="shared" si="9"/>
        <v>27</v>
      </c>
      <c r="I48" s="46">
        <f t="shared" si="9"/>
        <v>25</v>
      </c>
      <c r="J48" s="46">
        <f t="shared" si="9"/>
        <v>42</v>
      </c>
      <c r="K48" s="47">
        <f t="shared" si="9"/>
        <v>8</v>
      </c>
      <c r="L48" s="47">
        <f t="shared" si="9"/>
        <v>71</v>
      </c>
      <c r="M48" s="48"/>
      <c r="N48" s="49">
        <f t="shared" si="1"/>
        <v>411.9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9"/>
      <c r="B49" s="29"/>
      <c r="C49" s="29"/>
      <c r="D49" s="29"/>
      <c r="E49" s="29"/>
      <c r="F49" s="29"/>
      <c r="G49" s="27"/>
      <c r="H49" s="27"/>
      <c r="I49" s="29"/>
      <c r="J49" s="29"/>
      <c r="K49" s="50"/>
      <c r="L49" s="50"/>
      <c r="M49" s="42"/>
      <c r="N49" s="29">
        <f t="shared" si="1"/>
        <v>0</v>
      </c>
    </row>
    <row r="50" ht="15.75" customHeight="1">
      <c r="A50" s="37">
        <v>45756.0</v>
      </c>
      <c r="B50" s="29"/>
      <c r="C50" s="29"/>
      <c r="D50" s="29"/>
      <c r="E50" s="29"/>
      <c r="F50" s="29"/>
      <c r="G50" s="29"/>
      <c r="H50" s="29"/>
      <c r="I50" s="29"/>
      <c r="J50" s="29"/>
      <c r="K50" s="50"/>
      <c r="L50" s="50"/>
      <c r="M50" s="42"/>
      <c r="N50" s="29">
        <f t="shared" si="1"/>
        <v>0</v>
      </c>
    </row>
    <row r="51" ht="15.75" customHeight="1">
      <c r="A51" s="30" t="s">
        <v>14</v>
      </c>
      <c r="B51" s="30" t="s">
        <v>29</v>
      </c>
      <c r="C51" s="30" t="s">
        <v>30</v>
      </c>
      <c r="D51" s="30" t="s">
        <v>17</v>
      </c>
      <c r="E51" s="30" t="s">
        <v>31</v>
      </c>
      <c r="F51" s="30" t="s">
        <v>19</v>
      </c>
      <c r="G51" s="30" t="s">
        <v>20</v>
      </c>
      <c r="H51" s="30" t="s">
        <v>21</v>
      </c>
      <c r="I51" s="30" t="s">
        <v>22</v>
      </c>
      <c r="J51" s="30" t="s">
        <v>23</v>
      </c>
      <c r="K51" s="44" t="s">
        <v>24</v>
      </c>
      <c r="L51" s="44" t="s">
        <v>25</v>
      </c>
      <c r="M51" s="42"/>
      <c r="N51" s="29">
        <f t="shared" si="1"/>
        <v>0</v>
      </c>
    </row>
    <row r="52" ht="15.75" customHeight="1">
      <c r="A52" s="31" t="s">
        <v>26</v>
      </c>
      <c r="B52" s="32">
        <v>32.0</v>
      </c>
      <c r="C52" s="57">
        <v>21.4</v>
      </c>
      <c r="D52" s="32">
        <v>45.0</v>
      </c>
      <c r="E52" s="32">
        <v>10.4</v>
      </c>
      <c r="F52" s="32">
        <v>18.9</v>
      </c>
      <c r="G52" s="16">
        <v>13.0</v>
      </c>
      <c r="H52" s="16">
        <v>12.0</v>
      </c>
      <c r="I52" s="32">
        <v>25.0</v>
      </c>
      <c r="J52" s="32">
        <v>18.0</v>
      </c>
      <c r="K52" s="45">
        <v>24.0</v>
      </c>
      <c r="L52" s="45">
        <v>86.0</v>
      </c>
      <c r="M52" s="42"/>
      <c r="N52" s="29">
        <f t="shared" si="1"/>
        <v>305.7</v>
      </c>
    </row>
    <row r="53" ht="15.75" customHeight="1">
      <c r="A53" s="31" t="s">
        <v>27</v>
      </c>
      <c r="B53" s="32">
        <v>10.0</v>
      </c>
      <c r="C53" s="32">
        <v>8.1</v>
      </c>
      <c r="D53" s="32">
        <v>20.0</v>
      </c>
      <c r="E53" s="32">
        <v>44.34</v>
      </c>
      <c r="F53" s="32">
        <v>44.34</v>
      </c>
      <c r="G53" s="16">
        <v>12.0</v>
      </c>
      <c r="H53" s="16">
        <v>9.0</v>
      </c>
      <c r="I53" s="32">
        <v>45.0</v>
      </c>
      <c r="J53" s="32">
        <v>45.0</v>
      </c>
      <c r="K53" s="45">
        <v>2.0</v>
      </c>
      <c r="L53" s="45">
        <v>0.0</v>
      </c>
      <c r="M53" s="42"/>
      <c r="N53" s="29">
        <f t="shared" si="1"/>
        <v>239.78</v>
      </c>
    </row>
    <row r="54" ht="15.75" customHeight="1">
      <c r="A54" s="34" t="s">
        <v>28</v>
      </c>
      <c r="B54" s="46">
        <f t="shared" ref="B54:L54" si="10">SUM(B52:B53)</f>
        <v>42</v>
      </c>
      <c r="C54" s="46">
        <f t="shared" si="10"/>
        <v>29.5</v>
      </c>
      <c r="D54" s="46">
        <f t="shared" si="10"/>
        <v>65</v>
      </c>
      <c r="E54" s="46">
        <f t="shared" si="10"/>
        <v>54.74</v>
      </c>
      <c r="F54" s="46">
        <f t="shared" si="10"/>
        <v>63.24</v>
      </c>
      <c r="G54" s="18">
        <f t="shared" si="10"/>
        <v>25</v>
      </c>
      <c r="H54" s="18">
        <f t="shared" si="10"/>
        <v>21</v>
      </c>
      <c r="I54" s="46">
        <f t="shared" si="10"/>
        <v>70</v>
      </c>
      <c r="J54" s="46">
        <f t="shared" si="10"/>
        <v>63</v>
      </c>
      <c r="K54" s="47">
        <f t="shared" si="10"/>
        <v>26</v>
      </c>
      <c r="L54" s="47">
        <f t="shared" si="10"/>
        <v>86</v>
      </c>
      <c r="M54" s="48"/>
      <c r="N54" s="49">
        <f t="shared" si="1"/>
        <v>545.48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50"/>
      <c r="L55" s="50"/>
      <c r="M55" s="42"/>
      <c r="N55" s="29">
        <f t="shared" si="1"/>
        <v>0</v>
      </c>
    </row>
    <row r="56" ht="15.75" customHeight="1">
      <c r="A56" s="37">
        <v>45757.0</v>
      </c>
      <c r="B56" s="29"/>
      <c r="C56" s="29"/>
      <c r="D56" s="29"/>
      <c r="E56" s="29"/>
      <c r="F56" s="29"/>
      <c r="G56" s="29"/>
      <c r="H56" s="29"/>
      <c r="I56" s="29"/>
      <c r="J56" s="29"/>
      <c r="K56" s="50"/>
      <c r="L56" s="50"/>
      <c r="M56" s="42"/>
      <c r="N56" s="29">
        <f t="shared" si="1"/>
        <v>0</v>
      </c>
    </row>
    <row r="57" ht="15.75" customHeight="1">
      <c r="A57" s="30" t="s">
        <v>14</v>
      </c>
      <c r="B57" s="30" t="s">
        <v>29</v>
      </c>
      <c r="C57" s="30" t="s">
        <v>30</v>
      </c>
      <c r="D57" s="30" t="s">
        <v>17</v>
      </c>
      <c r="E57" s="30" t="s">
        <v>31</v>
      </c>
      <c r="F57" s="30" t="s">
        <v>19</v>
      </c>
      <c r="G57" s="30" t="s">
        <v>20</v>
      </c>
      <c r="H57" s="30" t="s">
        <v>21</v>
      </c>
      <c r="I57" s="30" t="s">
        <v>22</v>
      </c>
      <c r="J57" s="30" t="s">
        <v>23</v>
      </c>
      <c r="K57" s="44" t="s">
        <v>24</v>
      </c>
      <c r="L57" s="44" t="s">
        <v>25</v>
      </c>
      <c r="M57" s="42"/>
      <c r="N57" s="29">
        <f t="shared" si="1"/>
        <v>0</v>
      </c>
    </row>
    <row r="58" ht="15.75" customHeight="1">
      <c r="A58" s="31" t="s">
        <v>26</v>
      </c>
      <c r="B58" s="32">
        <v>82.0</v>
      </c>
      <c r="C58" s="32">
        <v>23.2</v>
      </c>
      <c r="D58" s="33">
        <v>9.5</v>
      </c>
      <c r="E58" s="33">
        <v>10.0</v>
      </c>
      <c r="F58" s="33">
        <v>9.9</v>
      </c>
      <c r="G58" s="33">
        <v>10.0</v>
      </c>
      <c r="H58" s="33">
        <v>20.0</v>
      </c>
      <c r="I58" s="33">
        <v>27.5</v>
      </c>
      <c r="J58" s="33">
        <v>16.9</v>
      </c>
      <c r="K58" s="45">
        <v>27.0</v>
      </c>
      <c r="L58" s="45">
        <v>80.0</v>
      </c>
      <c r="M58" s="42"/>
      <c r="N58" s="29">
        <f t="shared" si="1"/>
        <v>316</v>
      </c>
    </row>
    <row r="59" ht="15.75" customHeight="1">
      <c r="A59" s="31" t="s">
        <v>27</v>
      </c>
      <c r="B59" s="32">
        <v>40.0</v>
      </c>
      <c r="C59" s="32">
        <v>12.4</v>
      </c>
      <c r="D59" s="33">
        <v>4.0</v>
      </c>
      <c r="E59" s="33">
        <v>0.0</v>
      </c>
      <c r="F59" s="33">
        <v>0.0</v>
      </c>
      <c r="G59" s="33">
        <v>20.0</v>
      </c>
      <c r="H59" s="33">
        <v>10.0</v>
      </c>
      <c r="I59" s="33">
        <v>0.0</v>
      </c>
      <c r="J59" s="33">
        <v>0.0</v>
      </c>
      <c r="K59" s="45">
        <v>2.0</v>
      </c>
      <c r="L59" s="45">
        <v>0.0</v>
      </c>
      <c r="M59" s="42"/>
      <c r="N59" s="29">
        <f t="shared" si="1"/>
        <v>88.4</v>
      </c>
    </row>
    <row r="60" ht="15.75" customHeight="1">
      <c r="A60" s="34" t="s">
        <v>28</v>
      </c>
      <c r="B60" s="46">
        <f t="shared" ref="B60:L60" si="11">SUM(B58:B59)</f>
        <v>122</v>
      </c>
      <c r="C60" s="46">
        <f t="shared" si="11"/>
        <v>35.6</v>
      </c>
      <c r="D60" s="46">
        <f t="shared" si="11"/>
        <v>13.5</v>
      </c>
      <c r="E60" s="46">
        <f t="shared" si="11"/>
        <v>10</v>
      </c>
      <c r="F60" s="46">
        <f t="shared" si="11"/>
        <v>9.9</v>
      </c>
      <c r="G60" s="18">
        <f t="shared" si="11"/>
        <v>30</v>
      </c>
      <c r="H60" s="18">
        <f t="shared" si="11"/>
        <v>30</v>
      </c>
      <c r="I60" s="46">
        <f t="shared" si="11"/>
        <v>27.5</v>
      </c>
      <c r="J60" s="46">
        <f t="shared" si="11"/>
        <v>16.9</v>
      </c>
      <c r="K60" s="47">
        <f t="shared" si="11"/>
        <v>29</v>
      </c>
      <c r="L60" s="47">
        <f t="shared" si="11"/>
        <v>80</v>
      </c>
      <c r="M60" s="48"/>
      <c r="N60" s="49">
        <f t="shared" si="1"/>
        <v>404.4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50"/>
      <c r="L61" s="50"/>
      <c r="M61" s="42"/>
      <c r="N61" s="29">
        <f t="shared" si="1"/>
        <v>0</v>
      </c>
    </row>
    <row r="62" ht="15.75" customHeight="1">
      <c r="A62" s="37">
        <v>45758.0</v>
      </c>
      <c r="B62" s="29"/>
      <c r="C62" s="29"/>
      <c r="D62" s="29"/>
      <c r="E62" s="29"/>
      <c r="F62" s="29"/>
      <c r="G62" s="29"/>
      <c r="H62" s="29"/>
      <c r="I62" s="29"/>
      <c r="J62" s="29"/>
      <c r="K62" s="50"/>
      <c r="L62" s="50"/>
      <c r="M62" s="42"/>
      <c r="N62" s="29">
        <f t="shared" si="1"/>
        <v>0</v>
      </c>
    </row>
    <row r="63" ht="15.75" customHeight="1">
      <c r="A63" s="30" t="s">
        <v>14</v>
      </c>
      <c r="B63" s="30" t="s">
        <v>29</v>
      </c>
      <c r="C63" s="30" t="s">
        <v>30</v>
      </c>
      <c r="D63" s="30" t="s">
        <v>17</v>
      </c>
      <c r="E63" s="30" t="s">
        <v>31</v>
      </c>
      <c r="F63" s="30" t="s">
        <v>19</v>
      </c>
      <c r="G63" s="30" t="s">
        <v>20</v>
      </c>
      <c r="H63" s="30" t="s">
        <v>21</v>
      </c>
      <c r="I63" s="30" t="s">
        <v>22</v>
      </c>
      <c r="J63" s="30" t="s">
        <v>23</v>
      </c>
      <c r="K63" s="44" t="s">
        <v>24</v>
      </c>
      <c r="L63" s="44" t="s">
        <v>25</v>
      </c>
      <c r="M63" s="42"/>
      <c r="N63" s="29">
        <f t="shared" si="1"/>
        <v>0</v>
      </c>
    </row>
    <row r="64" ht="15.75" customHeight="1">
      <c r="A64" s="31" t="s">
        <v>26</v>
      </c>
      <c r="B64" s="36">
        <v>82.0</v>
      </c>
      <c r="C64" s="32">
        <v>29.1</v>
      </c>
      <c r="D64" s="33">
        <v>0.0</v>
      </c>
      <c r="E64" s="32">
        <v>18.5</v>
      </c>
      <c r="F64" s="32">
        <v>11.9</v>
      </c>
      <c r="G64" s="16">
        <v>13.6</v>
      </c>
      <c r="H64" s="16">
        <v>12.0</v>
      </c>
      <c r="I64" s="32">
        <v>10.3</v>
      </c>
      <c r="J64" s="32">
        <v>22.3</v>
      </c>
      <c r="K64" s="45">
        <v>20.0</v>
      </c>
      <c r="L64" s="45">
        <v>79.0</v>
      </c>
      <c r="M64" s="42"/>
      <c r="N64" s="29">
        <f t="shared" si="1"/>
        <v>298.7</v>
      </c>
    </row>
    <row r="65" ht="15.75" customHeight="1">
      <c r="A65" s="31" t="s">
        <v>27</v>
      </c>
      <c r="B65" s="36">
        <v>31.0</v>
      </c>
      <c r="C65" s="32">
        <v>18.1</v>
      </c>
      <c r="D65" s="33">
        <v>0.0</v>
      </c>
      <c r="E65" s="33">
        <v>0.0</v>
      </c>
      <c r="F65" s="33">
        <v>0.0</v>
      </c>
      <c r="G65" s="16">
        <v>12.0</v>
      </c>
      <c r="H65" s="16">
        <v>5.5</v>
      </c>
      <c r="I65" s="33">
        <v>0.0</v>
      </c>
      <c r="J65" s="33">
        <v>0.0</v>
      </c>
      <c r="K65" s="45">
        <v>1.0</v>
      </c>
      <c r="L65" s="45">
        <v>0.0</v>
      </c>
      <c r="M65" s="42"/>
      <c r="N65" s="29">
        <f t="shared" si="1"/>
        <v>67.6</v>
      </c>
    </row>
    <row r="66" ht="15.75" customHeight="1">
      <c r="A66" s="34" t="s">
        <v>28</v>
      </c>
      <c r="B66" s="46">
        <f t="shared" ref="B66:L66" si="12">SUM(B64:B65)</f>
        <v>113</v>
      </c>
      <c r="C66" s="46">
        <f t="shared" si="12"/>
        <v>47.2</v>
      </c>
      <c r="D66" s="46">
        <f t="shared" si="12"/>
        <v>0</v>
      </c>
      <c r="E66" s="46">
        <f t="shared" si="12"/>
        <v>18.5</v>
      </c>
      <c r="F66" s="46">
        <f t="shared" si="12"/>
        <v>11.9</v>
      </c>
      <c r="G66" s="18">
        <f t="shared" si="12"/>
        <v>25.6</v>
      </c>
      <c r="H66" s="18">
        <f t="shared" si="12"/>
        <v>17.5</v>
      </c>
      <c r="I66" s="46">
        <f t="shared" si="12"/>
        <v>10.3</v>
      </c>
      <c r="J66" s="46">
        <f t="shared" si="12"/>
        <v>22.3</v>
      </c>
      <c r="K66" s="47">
        <f t="shared" si="12"/>
        <v>21</v>
      </c>
      <c r="L66" s="47">
        <f t="shared" si="12"/>
        <v>79</v>
      </c>
      <c r="M66" s="48"/>
      <c r="N66" s="49">
        <f t="shared" si="1"/>
        <v>366.3</v>
      </c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50"/>
      <c r="L67" s="50"/>
      <c r="M67" s="42"/>
      <c r="N67" s="29">
        <f t="shared" si="1"/>
        <v>0</v>
      </c>
    </row>
    <row r="68" ht="15.75" customHeight="1">
      <c r="A68" s="37">
        <v>45759.0</v>
      </c>
      <c r="B68" s="29"/>
      <c r="C68" s="29"/>
      <c r="D68" s="29"/>
      <c r="E68" s="29"/>
      <c r="F68" s="29"/>
      <c r="G68" s="29"/>
      <c r="H68" s="29"/>
      <c r="I68" s="29"/>
      <c r="J68" s="29"/>
      <c r="K68" s="50"/>
      <c r="L68" s="50"/>
      <c r="M68" s="42"/>
      <c r="N68" s="29">
        <f t="shared" si="1"/>
        <v>0</v>
      </c>
    </row>
    <row r="69" ht="15.75" customHeight="1">
      <c r="A69" s="30" t="s">
        <v>14</v>
      </c>
      <c r="B69" s="30" t="s">
        <v>29</v>
      </c>
      <c r="C69" s="30" t="s">
        <v>30</v>
      </c>
      <c r="D69" s="30" t="s">
        <v>17</v>
      </c>
      <c r="E69" s="30" t="s">
        <v>31</v>
      </c>
      <c r="F69" s="30" t="s">
        <v>19</v>
      </c>
      <c r="G69" s="30" t="s">
        <v>20</v>
      </c>
      <c r="H69" s="30" t="s">
        <v>21</v>
      </c>
      <c r="I69" s="30" t="s">
        <v>22</v>
      </c>
      <c r="J69" s="30" t="s">
        <v>23</v>
      </c>
      <c r="K69" s="44" t="s">
        <v>24</v>
      </c>
      <c r="L69" s="44" t="s">
        <v>25</v>
      </c>
      <c r="M69" s="42"/>
      <c r="N69" s="29">
        <f t="shared" si="1"/>
        <v>0</v>
      </c>
    </row>
    <row r="70" ht="15.75" customHeight="1">
      <c r="A70" s="31" t="s">
        <v>26</v>
      </c>
      <c r="B70" s="33">
        <v>60.0</v>
      </c>
      <c r="C70" s="32">
        <v>23.3</v>
      </c>
      <c r="D70" s="33">
        <v>0.0</v>
      </c>
      <c r="E70" s="32">
        <v>18.3</v>
      </c>
      <c r="F70" s="32">
        <v>14.5</v>
      </c>
      <c r="G70" s="33">
        <v>10.0</v>
      </c>
      <c r="H70" s="33">
        <v>15.0</v>
      </c>
      <c r="I70" s="32">
        <v>21.3</v>
      </c>
      <c r="J70" s="32">
        <v>27.2</v>
      </c>
      <c r="K70" s="45">
        <v>17.0</v>
      </c>
      <c r="L70" s="45">
        <v>80.0</v>
      </c>
      <c r="M70" s="42"/>
      <c r="N70" s="29">
        <f t="shared" si="1"/>
        <v>286.6</v>
      </c>
    </row>
    <row r="71" ht="15.75" customHeight="1">
      <c r="A71" s="31" t="s">
        <v>27</v>
      </c>
      <c r="B71" s="32">
        <v>44.0</v>
      </c>
      <c r="C71" s="32">
        <v>16.1</v>
      </c>
      <c r="D71" s="33">
        <v>0.0</v>
      </c>
      <c r="E71" s="33">
        <v>0.0</v>
      </c>
      <c r="F71" s="33">
        <v>0.0</v>
      </c>
      <c r="G71" s="33">
        <v>25.0</v>
      </c>
      <c r="H71" s="33">
        <v>4.5</v>
      </c>
      <c r="I71" s="33">
        <v>0.0</v>
      </c>
      <c r="J71" s="33">
        <v>0.0</v>
      </c>
      <c r="K71" s="45">
        <v>2.0</v>
      </c>
      <c r="L71" s="45">
        <v>0.0</v>
      </c>
      <c r="M71" s="42"/>
      <c r="N71" s="29">
        <f t="shared" si="1"/>
        <v>91.6</v>
      </c>
    </row>
    <row r="72" ht="15.75" customHeight="1">
      <c r="A72" s="34" t="s">
        <v>28</v>
      </c>
      <c r="B72" s="46">
        <f t="shared" ref="B72:L72" si="13">SUM(B70:B71)</f>
        <v>104</v>
      </c>
      <c r="C72" s="46">
        <f t="shared" si="13"/>
        <v>39.4</v>
      </c>
      <c r="D72" s="46">
        <f t="shared" si="13"/>
        <v>0</v>
      </c>
      <c r="E72" s="46">
        <f t="shared" si="13"/>
        <v>18.3</v>
      </c>
      <c r="F72" s="46">
        <f t="shared" si="13"/>
        <v>14.5</v>
      </c>
      <c r="G72" s="18">
        <f t="shared" si="13"/>
        <v>35</v>
      </c>
      <c r="H72" s="18">
        <f t="shared" si="13"/>
        <v>19.5</v>
      </c>
      <c r="I72" s="46">
        <f t="shared" si="13"/>
        <v>21.3</v>
      </c>
      <c r="J72" s="46">
        <f t="shared" si="13"/>
        <v>27.2</v>
      </c>
      <c r="K72" s="47">
        <f t="shared" si="13"/>
        <v>19</v>
      </c>
      <c r="L72" s="47">
        <f t="shared" si="13"/>
        <v>80</v>
      </c>
      <c r="M72" s="48"/>
      <c r="N72" s="49">
        <f t="shared" si="1"/>
        <v>378.2</v>
      </c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50"/>
      <c r="L73" s="50"/>
      <c r="M73" s="42"/>
      <c r="N73" s="29">
        <f t="shared" si="1"/>
        <v>0</v>
      </c>
    </row>
    <row r="74" ht="15.75" customHeight="1">
      <c r="A74" s="37">
        <v>45760.0</v>
      </c>
      <c r="B74" s="29"/>
      <c r="C74" s="29"/>
      <c r="D74" s="29"/>
      <c r="E74" s="29"/>
      <c r="F74" s="29"/>
      <c r="G74" s="29"/>
      <c r="H74" s="29"/>
      <c r="I74" s="29"/>
      <c r="J74" s="29"/>
      <c r="K74" s="50"/>
      <c r="L74" s="50"/>
      <c r="M74" s="42"/>
      <c r="N74" s="29">
        <f t="shared" si="1"/>
        <v>0</v>
      </c>
    </row>
    <row r="75" ht="15.75" customHeight="1">
      <c r="A75" s="30" t="s">
        <v>14</v>
      </c>
      <c r="B75" s="30" t="s">
        <v>29</v>
      </c>
      <c r="C75" s="30" t="s">
        <v>30</v>
      </c>
      <c r="D75" s="30" t="s">
        <v>17</v>
      </c>
      <c r="E75" s="30" t="s">
        <v>31</v>
      </c>
      <c r="F75" s="30" t="s">
        <v>19</v>
      </c>
      <c r="G75" s="30" t="s">
        <v>20</v>
      </c>
      <c r="H75" s="30" t="s">
        <v>21</v>
      </c>
      <c r="I75" s="30" t="s">
        <v>22</v>
      </c>
      <c r="J75" s="30" t="s">
        <v>23</v>
      </c>
      <c r="K75" s="44" t="s">
        <v>24</v>
      </c>
      <c r="L75" s="44" t="s">
        <v>25</v>
      </c>
      <c r="M75" s="42"/>
      <c r="N75" s="29">
        <f t="shared" si="1"/>
        <v>0</v>
      </c>
    </row>
    <row r="76" ht="15.75" customHeight="1">
      <c r="A76" s="31" t="s">
        <v>26</v>
      </c>
      <c r="B76" s="32">
        <v>74.0</v>
      </c>
      <c r="C76" s="33">
        <v>37.0</v>
      </c>
      <c r="D76" s="32">
        <v>30.0</v>
      </c>
      <c r="E76" s="32">
        <v>24.9</v>
      </c>
      <c r="F76" s="32">
        <v>12.3</v>
      </c>
      <c r="G76" s="16">
        <v>13.6</v>
      </c>
      <c r="H76" s="16">
        <v>12.0</v>
      </c>
      <c r="I76" s="32">
        <v>18.0</v>
      </c>
      <c r="J76" s="32">
        <v>32.3</v>
      </c>
      <c r="K76" s="45">
        <v>19.0</v>
      </c>
      <c r="L76" s="45">
        <v>89.0</v>
      </c>
      <c r="M76" s="42"/>
      <c r="N76" s="29">
        <f t="shared" si="1"/>
        <v>362.1</v>
      </c>
    </row>
    <row r="77" ht="15.75" customHeight="1">
      <c r="A77" s="31" t="s">
        <v>27</v>
      </c>
      <c r="B77" s="33">
        <v>32.0</v>
      </c>
      <c r="C77" s="33">
        <v>18.0</v>
      </c>
      <c r="D77" s="32">
        <v>15.0</v>
      </c>
      <c r="E77" s="33">
        <v>35.0</v>
      </c>
      <c r="F77" s="33">
        <v>40.0</v>
      </c>
      <c r="G77" s="33">
        <v>9.0</v>
      </c>
      <c r="H77" s="33">
        <v>4.0</v>
      </c>
      <c r="I77" s="33">
        <v>32.5</v>
      </c>
      <c r="J77" s="33">
        <v>19.0</v>
      </c>
      <c r="K77" s="45">
        <v>2.0</v>
      </c>
      <c r="L77" s="45">
        <v>0.0</v>
      </c>
      <c r="M77" s="42"/>
      <c r="N77" s="29">
        <f t="shared" si="1"/>
        <v>206.5</v>
      </c>
    </row>
    <row r="78" ht="15.75" customHeight="1">
      <c r="A78" s="34" t="s">
        <v>28</v>
      </c>
      <c r="B78" s="46">
        <f t="shared" ref="B78:L78" si="14">SUM(B76:B77)</f>
        <v>106</v>
      </c>
      <c r="C78" s="46">
        <f t="shared" si="14"/>
        <v>55</v>
      </c>
      <c r="D78" s="46">
        <f t="shared" si="14"/>
        <v>45</v>
      </c>
      <c r="E78" s="46">
        <f t="shared" si="14"/>
        <v>59.9</v>
      </c>
      <c r="F78" s="46">
        <f t="shared" si="14"/>
        <v>52.3</v>
      </c>
      <c r="G78" s="18">
        <f t="shared" si="14"/>
        <v>22.6</v>
      </c>
      <c r="H78" s="18">
        <f t="shared" si="14"/>
        <v>16</v>
      </c>
      <c r="I78" s="46">
        <f t="shared" si="14"/>
        <v>50.5</v>
      </c>
      <c r="J78" s="46">
        <f t="shared" si="14"/>
        <v>51.3</v>
      </c>
      <c r="K78" s="47">
        <f t="shared" si="14"/>
        <v>21</v>
      </c>
      <c r="L78" s="47">
        <f t="shared" si="14"/>
        <v>89</v>
      </c>
      <c r="M78" s="48"/>
      <c r="N78" s="49">
        <f t="shared" si="1"/>
        <v>568.6</v>
      </c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50"/>
      <c r="L79" s="50"/>
      <c r="M79" s="42"/>
      <c r="N79" s="29">
        <f t="shared" si="1"/>
        <v>0</v>
      </c>
    </row>
    <row r="80" ht="15.75" customHeight="1">
      <c r="A80" s="37">
        <v>45761.0</v>
      </c>
      <c r="B80" s="29"/>
      <c r="C80" s="29"/>
      <c r="D80" s="29"/>
      <c r="E80" s="29"/>
      <c r="F80" s="29"/>
      <c r="G80" s="29"/>
      <c r="H80" s="29"/>
      <c r="I80" s="29"/>
      <c r="J80" s="29"/>
      <c r="K80" s="50"/>
      <c r="L80" s="50"/>
      <c r="M80" s="42"/>
      <c r="N80" s="29">
        <f t="shared" si="1"/>
        <v>0</v>
      </c>
    </row>
    <row r="81" ht="15.75" customHeight="1">
      <c r="A81" s="30" t="s">
        <v>14</v>
      </c>
      <c r="B81" s="30" t="s">
        <v>29</v>
      </c>
      <c r="C81" s="30" t="s">
        <v>30</v>
      </c>
      <c r="D81" s="30" t="s">
        <v>17</v>
      </c>
      <c r="E81" s="30" t="s">
        <v>31</v>
      </c>
      <c r="F81" s="30" t="s">
        <v>19</v>
      </c>
      <c r="G81" s="30" t="s">
        <v>20</v>
      </c>
      <c r="H81" s="30" t="s">
        <v>21</v>
      </c>
      <c r="I81" s="30" t="s">
        <v>22</v>
      </c>
      <c r="J81" s="30" t="s">
        <v>23</v>
      </c>
      <c r="K81" s="44" t="s">
        <v>24</v>
      </c>
      <c r="L81" s="44" t="s">
        <v>25</v>
      </c>
      <c r="M81" s="42"/>
      <c r="N81" s="29">
        <f t="shared" si="1"/>
        <v>0</v>
      </c>
    </row>
    <row r="82" ht="15.75" customHeight="1">
      <c r="A82" s="31" t="s">
        <v>26</v>
      </c>
      <c r="B82" s="32">
        <v>70.0</v>
      </c>
      <c r="C82" s="33">
        <v>40.0</v>
      </c>
      <c r="D82" s="33">
        <v>0.0</v>
      </c>
      <c r="E82" s="32">
        <v>11.2</v>
      </c>
      <c r="F82" s="32">
        <v>14.8</v>
      </c>
      <c r="G82" s="16">
        <v>13.6</v>
      </c>
      <c r="H82" s="16">
        <v>12.0</v>
      </c>
      <c r="I82" s="32">
        <v>10.4</v>
      </c>
      <c r="J82" s="32">
        <v>22.3</v>
      </c>
      <c r="K82" s="45">
        <v>17.0</v>
      </c>
      <c r="L82" s="45">
        <v>87.0</v>
      </c>
      <c r="M82" s="42"/>
      <c r="N82" s="29">
        <f t="shared" si="1"/>
        <v>298.3</v>
      </c>
    </row>
    <row r="83" ht="15.75" customHeight="1">
      <c r="A83" s="31" t="s">
        <v>27</v>
      </c>
      <c r="B83" s="32">
        <v>30.0</v>
      </c>
      <c r="C83" s="33">
        <v>22.0</v>
      </c>
      <c r="D83" s="33">
        <v>0.0</v>
      </c>
      <c r="E83" s="33">
        <v>0.0</v>
      </c>
      <c r="F83" s="33">
        <v>0.0</v>
      </c>
      <c r="G83" s="33">
        <v>20.0</v>
      </c>
      <c r="H83" s="33">
        <v>4.0</v>
      </c>
      <c r="I83" s="33">
        <v>0.0</v>
      </c>
      <c r="J83" s="33">
        <v>0.0</v>
      </c>
      <c r="K83" s="45">
        <v>2.0</v>
      </c>
      <c r="L83" s="45">
        <v>0.0</v>
      </c>
      <c r="M83" s="42"/>
      <c r="N83" s="29">
        <f t="shared" si="1"/>
        <v>78</v>
      </c>
    </row>
    <row r="84" ht="15.75" customHeight="1">
      <c r="A84" s="34" t="s">
        <v>28</v>
      </c>
      <c r="B84" s="46">
        <f t="shared" ref="B84:L84" si="15">SUM(B82:B83)</f>
        <v>100</v>
      </c>
      <c r="C84" s="46">
        <f t="shared" si="15"/>
        <v>62</v>
      </c>
      <c r="D84" s="46">
        <f t="shared" si="15"/>
        <v>0</v>
      </c>
      <c r="E84" s="46">
        <f t="shared" si="15"/>
        <v>11.2</v>
      </c>
      <c r="F84" s="46">
        <f t="shared" si="15"/>
        <v>14.8</v>
      </c>
      <c r="G84" s="18">
        <f t="shared" si="15"/>
        <v>33.6</v>
      </c>
      <c r="H84" s="18">
        <f t="shared" si="15"/>
        <v>16</v>
      </c>
      <c r="I84" s="46">
        <f t="shared" si="15"/>
        <v>10.4</v>
      </c>
      <c r="J84" s="46">
        <f t="shared" si="15"/>
        <v>22.3</v>
      </c>
      <c r="K84" s="47">
        <f t="shared" si="15"/>
        <v>19</v>
      </c>
      <c r="L84" s="47">
        <f t="shared" si="15"/>
        <v>87</v>
      </c>
      <c r="M84" s="48"/>
      <c r="N84" s="49">
        <f t="shared" si="1"/>
        <v>376.3</v>
      </c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9"/>
      <c r="B85" s="29"/>
      <c r="C85" s="29"/>
      <c r="D85" s="29"/>
      <c r="E85" s="29"/>
      <c r="F85" s="29"/>
      <c r="I85" s="29"/>
      <c r="J85" s="29"/>
      <c r="K85" s="50"/>
      <c r="L85" s="50"/>
      <c r="M85" s="42"/>
      <c r="N85" s="29">
        <f t="shared" si="1"/>
        <v>0</v>
      </c>
    </row>
    <row r="86" ht="15.75" customHeight="1">
      <c r="A86" s="37">
        <v>45762.0</v>
      </c>
      <c r="B86" s="29"/>
      <c r="C86" s="29"/>
      <c r="D86" s="29"/>
      <c r="E86" s="29"/>
      <c r="F86" s="29"/>
      <c r="G86" s="29"/>
      <c r="H86" s="29"/>
      <c r="I86" s="29"/>
      <c r="J86" s="29"/>
      <c r="K86" s="50"/>
      <c r="L86" s="50"/>
      <c r="M86" s="42"/>
      <c r="N86" s="29">
        <f t="shared" si="1"/>
        <v>0</v>
      </c>
    </row>
    <row r="87" ht="15.75" customHeight="1">
      <c r="A87" s="30" t="s">
        <v>14</v>
      </c>
      <c r="B87" s="30" t="s">
        <v>29</v>
      </c>
      <c r="C87" s="30" t="s">
        <v>30</v>
      </c>
      <c r="D87" s="30" t="s">
        <v>17</v>
      </c>
      <c r="E87" s="30" t="s">
        <v>31</v>
      </c>
      <c r="F87" s="30" t="s">
        <v>19</v>
      </c>
      <c r="G87" s="30" t="s">
        <v>20</v>
      </c>
      <c r="H87" s="30" t="s">
        <v>21</v>
      </c>
      <c r="I87" s="30" t="s">
        <v>22</v>
      </c>
      <c r="J87" s="30" t="s">
        <v>23</v>
      </c>
      <c r="K87" s="44" t="s">
        <v>24</v>
      </c>
      <c r="L87" s="44" t="s">
        <v>25</v>
      </c>
      <c r="M87" s="42"/>
      <c r="N87" s="29">
        <f t="shared" si="1"/>
        <v>0</v>
      </c>
    </row>
    <row r="88" ht="15.75" customHeight="1">
      <c r="A88" s="31" t="s">
        <v>26</v>
      </c>
      <c r="B88" s="32">
        <v>35.0</v>
      </c>
      <c r="C88" s="33">
        <v>45.0</v>
      </c>
      <c r="D88" s="33">
        <v>0.0</v>
      </c>
      <c r="E88" s="33">
        <v>17.5</v>
      </c>
      <c r="F88" s="33">
        <v>19.0</v>
      </c>
      <c r="G88" s="33">
        <v>20.0</v>
      </c>
      <c r="H88" s="33">
        <v>15.0</v>
      </c>
      <c r="I88" s="33">
        <v>28.0</v>
      </c>
      <c r="J88" s="33">
        <v>21.0</v>
      </c>
      <c r="K88" s="45">
        <v>19.0</v>
      </c>
      <c r="L88" s="45">
        <v>88.0</v>
      </c>
      <c r="M88" s="42"/>
      <c r="N88" s="29">
        <f t="shared" si="1"/>
        <v>307.5</v>
      </c>
    </row>
    <row r="89" ht="15.75" customHeight="1">
      <c r="A89" s="31" t="s">
        <v>27</v>
      </c>
      <c r="B89" s="32">
        <v>12.0</v>
      </c>
      <c r="C89" s="33">
        <v>18.0</v>
      </c>
      <c r="D89" s="33">
        <v>0.0</v>
      </c>
      <c r="E89" s="33">
        <v>0.0</v>
      </c>
      <c r="F89" s="33">
        <v>0.0</v>
      </c>
      <c r="G89" s="33">
        <v>25.0</v>
      </c>
      <c r="H89" s="33">
        <v>10.0</v>
      </c>
      <c r="I89" s="33">
        <v>0.0</v>
      </c>
      <c r="J89" s="33">
        <v>0.0</v>
      </c>
      <c r="K89" s="45">
        <v>1.0</v>
      </c>
      <c r="L89" s="45">
        <v>0.0</v>
      </c>
      <c r="M89" s="42"/>
      <c r="N89" s="29">
        <f t="shared" si="1"/>
        <v>66</v>
      </c>
    </row>
    <row r="90" ht="15.75" customHeight="1">
      <c r="A90" s="34" t="s">
        <v>28</v>
      </c>
      <c r="B90" s="46">
        <f t="shared" ref="B90:L90" si="16">SUM(B88:B89)</f>
        <v>47</v>
      </c>
      <c r="C90" s="46">
        <f t="shared" si="16"/>
        <v>63</v>
      </c>
      <c r="D90" s="46">
        <f t="shared" si="16"/>
        <v>0</v>
      </c>
      <c r="E90" s="46">
        <f t="shared" si="16"/>
        <v>17.5</v>
      </c>
      <c r="F90" s="46">
        <f t="shared" si="16"/>
        <v>19</v>
      </c>
      <c r="G90" s="18">
        <f t="shared" si="16"/>
        <v>45</v>
      </c>
      <c r="H90" s="18">
        <f t="shared" si="16"/>
        <v>25</v>
      </c>
      <c r="I90" s="46">
        <f t="shared" si="16"/>
        <v>28</v>
      </c>
      <c r="J90" s="46">
        <f t="shared" si="16"/>
        <v>21</v>
      </c>
      <c r="K90" s="47">
        <f t="shared" si="16"/>
        <v>20</v>
      </c>
      <c r="L90" s="47">
        <f t="shared" si="16"/>
        <v>88</v>
      </c>
      <c r="M90" s="48"/>
      <c r="N90" s="49">
        <f t="shared" si="1"/>
        <v>373.5</v>
      </c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K91" s="50"/>
      <c r="L91" s="50"/>
      <c r="N91" s="29">
        <f t="shared" si="1"/>
        <v>0</v>
      </c>
    </row>
    <row r="92" ht="15.75" customHeight="1">
      <c r="A92" s="37">
        <v>45763.0</v>
      </c>
      <c r="B92" s="29"/>
      <c r="C92" s="29"/>
      <c r="D92" s="29"/>
      <c r="E92" s="29"/>
      <c r="F92" s="29"/>
      <c r="G92" s="29"/>
      <c r="H92" s="29"/>
      <c r="I92" s="29"/>
      <c r="J92" s="29"/>
      <c r="K92" s="50"/>
      <c r="L92" s="50"/>
      <c r="N92" s="29">
        <f t="shared" si="1"/>
        <v>0</v>
      </c>
    </row>
    <row r="93" ht="15.75" customHeight="1">
      <c r="A93" s="30" t="s">
        <v>14</v>
      </c>
      <c r="B93" s="30" t="s">
        <v>29</v>
      </c>
      <c r="C93" s="30" t="s">
        <v>30</v>
      </c>
      <c r="D93" s="30" t="s">
        <v>17</v>
      </c>
      <c r="E93" s="30" t="s">
        <v>31</v>
      </c>
      <c r="F93" s="30" t="s">
        <v>19</v>
      </c>
      <c r="G93" s="30" t="s">
        <v>20</v>
      </c>
      <c r="H93" s="30" t="s">
        <v>21</v>
      </c>
      <c r="I93" s="30" t="s">
        <v>22</v>
      </c>
      <c r="J93" s="30" t="s">
        <v>23</v>
      </c>
      <c r="K93" s="44" t="s">
        <v>24</v>
      </c>
      <c r="L93" s="44" t="s">
        <v>25</v>
      </c>
      <c r="N93" s="29">
        <f t="shared" si="1"/>
        <v>0</v>
      </c>
    </row>
    <row r="94" ht="15.75" customHeight="1">
      <c r="A94" s="31" t="s">
        <v>26</v>
      </c>
      <c r="B94" s="33">
        <v>52.0</v>
      </c>
      <c r="C94" s="33">
        <v>56.0</v>
      </c>
      <c r="D94" s="33">
        <v>35.9</v>
      </c>
      <c r="E94" s="33">
        <v>16.0</v>
      </c>
      <c r="F94" s="33">
        <v>17.0</v>
      </c>
      <c r="G94" s="33">
        <v>16.0</v>
      </c>
      <c r="H94" s="33">
        <v>17.0</v>
      </c>
      <c r="I94" s="33">
        <v>19.0</v>
      </c>
      <c r="J94" s="58"/>
      <c r="K94" s="45">
        <v>19.0</v>
      </c>
      <c r="L94" s="45">
        <v>70.0</v>
      </c>
      <c r="N94" s="29">
        <f t="shared" si="1"/>
        <v>317.9</v>
      </c>
    </row>
    <row r="95" ht="15.75" customHeight="1">
      <c r="A95" s="31" t="s">
        <v>27</v>
      </c>
      <c r="B95" s="33">
        <v>18.0</v>
      </c>
      <c r="C95" s="33">
        <v>18.0</v>
      </c>
      <c r="D95" s="33">
        <v>16.0</v>
      </c>
      <c r="E95" s="33">
        <v>0.0</v>
      </c>
      <c r="F95" s="33">
        <v>0.0</v>
      </c>
      <c r="G95" s="33">
        <v>10.0</v>
      </c>
      <c r="H95" s="33">
        <v>5.0</v>
      </c>
      <c r="I95" s="33">
        <v>0.0</v>
      </c>
      <c r="J95" s="58"/>
      <c r="K95" s="45">
        <v>1.0</v>
      </c>
      <c r="L95" s="45">
        <v>1.0</v>
      </c>
      <c r="N95" s="29">
        <f t="shared" si="1"/>
        <v>69</v>
      </c>
    </row>
    <row r="96" ht="15.75" customHeight="1">
      <c r="A96" s="34" t="s">
        <v>28</v>
      </c>
      <c r="B96" s="46">
        <f t="shared" ref="B96:L96" si="17">SUM(B94:B95)</f>
        <v>70</v>
      </c>
      <c r="C96" s="46">
        <f t="shared" si="17"/>
        <v>74</v>
      </c>
      <c r="D96" s="46">
        <f t="shared" si="17"/>
        <v>51.9</v>
      </c>
      <c r="E96" s="46">
        <f t="shared" si="17"/>
        <v>16</v>
      </c>
      <c r="F96" s="46">
        <f t="shared" si="17"/>
        <v>17</v>
      </c>
      <c r="G96" s="18">
        <f t="shared" si="17"/>
        <v>26</v>
      </c>
      <c r="H96" s="18">
        <f t="shared" si="17"/>
        <v>22</v>
      </c>
      <c r="I96" s="46">
        <f t="shared" si="17"/>
        <v>19</v>
      </c>
      <c r="J96" s="46">
        <f t="shared" si="17"/>
        <v>0</v>
      </c>
      <c r="K96" s="47">
        <f t="shared" si="17"/>
        <v>20</v>
      </c>
      <c r="L96" s="47">
        <f t="shared" si="17"/>
        <v>71</v>
      </c>
      <c r="M96" s="20"/>
      <c r="N96" s="49">
        <f t="shared" si="1"/>
        <v>386.9</v>
      </c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12"/>
      <c r="B97" s="12"/>
      <c r="C97" s="12"/>
      <c r="D97" s="12"/>
      <c r="E97" s="12"/>
      <c r="F97" s="12"/>
      <c r="I97" s="12"/>
      <c r="J97" s="12"/>
      <c r="K97" s="59"/>
      <c r="L97" s="59"/>
      <c r="N97" s="29">
        <f t="shared" si="1"/>
        <v>0</v>
      </c>
    </row>
    <row r="98" ht="15.75" customHeight="1">
      <c r="A98" s="37">
        <v>45764.0</v>
      </c>
      <c r="B98" s="29"/>
      <c r="C98" s="29"/>
      <c r="D98" s="29"/>
      <c r="E98" s="29"/>
      <c r="F98" s="29"/>
      <c r="G98" s="29"/>
      <c r="H98" s="29"/>
      <c r="I98" s="29"/>
      <c r="J98" s="29"/>
      <c r="K98" s="50"/>
      <c r="L98" s="50"/>
      <c r="N98" s="29">
        <f t="shared" si="1"/>
        <v>0</v>
      </c>
    </row>
    <row r="99" ht="15.75" customHeight="1">
      <c r="A99" s="30" t="s">
        <v>14</v>
      </c>
      <c r="B99" s="30" t="s">
        <v>29</v>
      </c>
      <c r="C99" s="30" t="s">
        <v>30</v>
      </c>
      <c r="D99" s="30" t="s">
        <v>17</v>
      </c>
      <c r="E99" s="30" t="s">
        <v>31</v>
      </c>
      <c r="F99" s="30" t="s">
        <v>19</v>
      </c>
      <c r="G99" s="30" t="s">
        <v>20</v>
      </c>
      <c r="H99" s="30" t="s">
        <v>21</v>
      </c>
      <c r="I99" s="30" t="s">
        <v>22</v>
      </c>
      <c r="J99" s="30" t="s">
        <v>23</v>
      </c>
      <c r="K99" s="44" t="s">
        <v>24</v>
      </c>
      <c r="L99" s="44" t="s">
        <v>25</v>
      </c>
      <c r="N99" s="29">
        <f t="shared" si="1"/>
        <v>0</v>
      </c>
    </row>
    <row r="100" ht="15.75" customHeight="1">
      <c r="A100" s="31" t="s">
        <v>26</v>
      </c>
      <c r="B100" s="33">
        <v>30.0</v>
      </c>
      <c r="C100" s="33">
        <v>21.1</v>
      </c>
      <c r="D100" s="33">
        <v>0.0</v>
      </c>
      <c r="E100" s="33">
        <v>21.0</v>
      </c>
      <c r="F100" s="33">
        <v>24.0</v>
      </c>
      <c r="G100" s="33">
        <v>16.0</v>
      </c>
      <c r="H100" s="33">
        <v>20.0</v>
      </c>
      <c r="I100" s="33">
        <v>29.0</v>
      </c>
      <c r="J100" s="33">
        <v>28.0</v>
      </c>
      <c r="K100" s="45">
        <v>20.0</v>
      </c>
      <c r="L100" s="45">
        <v>86.0</v>
      </c>
      <c r="N100" s="29">
        <f t="shared" si="1"/>
        <v>295.1</v>
      </c>
    </row>
    <row r="101" ht="15.75" customHeight="1">
      <c r="A101" s="31" t="s">
        <v>27</v>
      </c>
      <c r="B101" s="33">
        <v>15.0</v>
      </c>
      <c r="C101" s="33">
        <v>14.2</v>
      </c>
      <c r="D101" s="33">
        <v>0.0</v>
      </c>
      <c r="E101" s="33">
        <v>0.0</v>
      </c>
      <c r="F101" s="33">
        <v>0.0</v>
      </c>
      <c r="G101" s="33">
        <v>25.0</v>
      </c>
      <c r="H101" s="33">
        <v>8.0</v>
      </c>
      <c r="I101" s="33">
        <v>0.0</v>
      </c>
      <c r="J101" s="33">
        <v>0.0</v>
      </c>
      <c r="K101" s="45">
        <v>1.0</v>
      </c>
      <c r="L101" s="45">
        <v>0.0</v>
      </c>
      <c r="N101" s="29">
        <f t="shared" si="1"/>
        <v>63.2</v>
      </c>
    </row>
    <row r="102" ht="15.75" customHeight="1">
      <c r="A102" s="34" t="s">
        <v>28</v>
      </c>
      <c r="B102" s="46">
        <f t="shared" ref="B102:L102" si="18">SUM(B100:B101)</f>
        <v>45</v>
      </c>
      <c r="C102" s="46">
        <f t="shared" si="18"/>
        <v>35.3</v>
      </c>
      <c r="D102" s="46">
        <f t="shared" si="18"/>
        <v>0</v>
      </c>
      <c r="E102" s="46">
        <f t="shared" si="18"/>
        <v>21</v>
      </c>
      <c r="F102" s="46">
        <f t="shared" si="18"/>
        <v>24</v>
      </c>
      <c r="G102" s="18">
        <f t="shared" si="18"/>
        <v>41</v>
      </c>
      <c r="H102" s="18">
        <f t="shared" si="18"/>
        <v>28</v>
      </c>
      <c r="I102" s="46">
        <f t="shared" si="18"/>
        <v>29</v>
      </c>
      <c r="J102" s="46">
        <f t="shared" si="18"/>
        <v>28</v>
      </c>
      <c r="K102" s="47">
        <f t="shared" si="18"/>
        <v>21</v>
      </c>
      <c r="L102" s="47">
        <f t="shared" si="18"/>
        <v>86</v>
      </c>
      <c r="M102" s="20"/>
      <c r="N102" s="49">
        <f t="shared" si="1"/>
        <v>358.3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K103" s="50"/>
      <c r="L103" s="50"/>
      <c r="N103" s="29">
        <f t="shared" si="1"/>
        <v>0</v>
      </c>
    </row>
    <row r="104" ht="15.75" customHeight="1">
      <c r="A104" s="37">
        <v>45765.0</v>
      </c>
      <c r="B104" s="29"/>
      <c r="C104" s="29"/>
      <c r="D104" s="29"/>
      <c r="E104" s="29"/>
      <c r="F104" s="29"/>
      <c r="G104" s="29"/>
      <c r="H104" s="29"/>
      <c r="I104" s="29"/>
      <c r="J104" s="29"/>
      <c r="K104" s="50"/>
      <c r="L104" s="50"/>
      <c r="N104" s="29">
        <f t="shared" si="1"/>
        <v>0</v>
      </c>
    </row>
    <row r="105" ht="15.75" customHeight="1">
      <c r="A105" s="30" t="s">
        <v>14</v>
      </c>
      <c r="B105" s="30" t="s">
        <v>29</v>
      </c>
      <c r="C105" s="30" t="s">
        <v>30</v>
      </c>
      <c r="D105" s="30" t="s">
        <v>17</v>
      </c>
      <c r="E105" s="30" t="s">
        <v>31</v>
      </c>
      <c r="F105" s="30" t="s">
        <v>19</v>
      </c>
      <c r="G105" s="30" t="s">
        <v>20</v>
      </c>
      <c r="H105" s="30" t="s">
        <v>21</v>
      </c>
      <c r="I105" s="30" t="s">
        <v>22</v>
      </c>
      <c r="J105" s="30" t="s">
        <v>23</v>
      </c>
      <c r="K105" s="44" t="s">
        <v>24</v>
      </c>
      <c r="L105" s="44" t="s">
        <v>25</v>
      </c>
      <c r="N105" s="29">
        <f t="shared" si="1"/>
        <v>0</v>
      </c>
    </row>
    <row r="106" ht="15.75" customHeight="1">
      <c r="A106" s="31" t="s">
        <v>26</v>
      </c>
      <c r="B106" s="33">
        <v>53.0</v>
      </c>
      <c r="C106" s="33">
        <v>31.4</v>
      </c>
      <c r="D106" s="33">
        <v>0.0</v>
      </c>
      <c r="E106" s="33">
        <v>28.5</v>
      </c>
      <c r="F106" s="33">
        <v>24.5</v>
      </c>
      <c r="G106" s="32">
        <v>18.3</v>
      </c>
      <c r="H106" s="33">
        <v>17.5</v>
      </c>
      <c r="I106" s="33">
        <v>28.9</v>
      </c>
      <c r="J106" s="33">
        <v>36.2</v>
      </c>
      <c r="K106" s="45">
        <v>25.0</v>
      </c>
      <c r="L106" s="45">
        <v>80.0</v>
      </c>
      <c r="N106" s="29">
        <f t="shared" si="1"/>
        <v>343.3</v>
      </c>
    </row>
    <row r="107" ht="15.75" customHeight="1">
      <c r="A107" s="31" t="s">
        <v>27</v>
      </c>
      <c r="B107" s="33">
        <v>31.0</v>
      </c>
      <c r="C107" s="33">
        <v>18.0</v>
      </c>
      <c r="D107" s="33">
        <v>0.0</v>
      </c>
      <c r="E107" s="33">
        <v>40.5</v>
      </c>
      <c r="F107" s="33">
        <v>30.6</v>
      </c>
      <c r="G107" s="33">
        <v>20.0</v>
      </c>
      <c r="H107" s="33">
        <v>10.0</v>
      </c>
      <c r="I107" s="33">
        <v>29.2</v>
      </c>
      <c r="J107" s="33">
        <v>36.11</v>
      </c>
      <c r="K107" s="45">
        <v>2.0</v>
      </c>
      <c r="L107" s="45">
        <v>0.0</v>
      </c>
      <c r="N107" s="29">
        <f t="shared" si="1"/>
        <v>217.41</v>
      </c>
    </row>
    <row r="108" ht="15.75" customHeight="1">
      <c r="A108" s="34" t="s">
        <v>28</v>
      </c>
      <c r="B108" s="46">
        <f t="shared" ref="B108:L108" si="19">SUM(B106:B107)</f>
        <v>84</v>
      </c>
      <c r="C108" s="46">
        <f t="shared" si="19"/>
        <v>49.4</v>
      </c>
      <c r="D108" s="46">
        <f t="shared" si="19"/>
        <v>0</v>
      </c>
      <c r="E108" s="46">
        <f t="shared" si="19"/>
        <v>69</v>
      </c>
      <c r="F108" s="46">
        <f t="shared" si="19"/>
        <v>55.1</v>
      </c>
      <c r="G108" s="18">
        <f t="shared" si="19"/>
        <v>38.3</v>
      </c>
      <c r="H108" s="18">
        <f t="shared" si="19"/>
        <v>27.5</v>
      </c>
      <c r="I108" s="46">
        <f t="shared" si="19"/>
        <v>58.1</v>
      </c>
      <c r="J108" s="46">
        <f t="shared" si="19"/>
        <v>72.31</v>
      </c>
      <c r="K108" s="47">
        <f t="shared" si="19"/>
        <v>27</v>
      </c>
      <c r="L108" s="47">
        <f t="shared" si="19"/>
        <v>80</v>
      </c>
      <c r="M108" s="20"/>
      <c r="N108" s="49">
        <f t="shared" si="1"/>
        <v>560.71</v>
      </c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K109" s="50"/>
      <c r="L109" s="50"/>
      <c r="N109" s="29">
        <f t="shared" si="1"/>
        <v>0</v>
      </c>
    </row>
    <row r="110" ht="15.75" customHeight="1">
      <c r="A110" s="37">
        <v>45766.0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50"/>
      <c r="L110" s="50"/>
      <c r="N110" s="29">
        <f t="shared" si="1"/>
        <v>0</v>
      </c>
    </row>
    <row r="111" ht="15.75" customHeight="1">
      <c r="A111" s="30" t="s">
        <v>14</v>
      </c>
      <c r="B111" s="30" t="s">
        <v>29</v>
      </c>
      <c r="C111" s="30" t="s">
        <v>30</v>
      </c>
      <c r="D111" s="30" t="s">
        <v>17</v>
      </c>
      <c r="E111" s="30" t="s">
        <v>31</v>
      </c>
      <c r="F111" s="30" t="s">
        <v>19</v>
      </c>
      <c r="G111" s="30" t="s">
        <v>20</v>
      </c>
      <c r="H111" s="30" t="s">
        <v>21</v>
      </c>
      <c r="I111" s="30" t="s">
        <v>22</v>
      </c>
      <c r="J111" s="30" t="s">
        <v>23</v>
      </c>
      <c r="K111" s="44" t="s">
        <v>24</v>
      </c>
      <c r="L111" s="44" t="s">
        <v>25</v>
      </c>
      <c r="N111" s="29">
        <f t="shared" si="1"/>
        <v>0</v>
      </c>
    </row>
    <row r="112" ht="15.75" customHeight="1">
      <c r="A112" s="31" t="s">
        <v>26</v>
      </c>
      <c r="B112" s="33">
        <v>33.0</v>
      </c>
      <c r="C112" s="33">
        <v>24.1</v>
      </c>
      <c r="D112" s="33">
        <v>0.0</v>
      </c>
      <c r="E112" s="33">
        <v>26.5</v>
      </c>
      <c r="F112" s="33">
        <v>29.5</v>
      </c>
      <c r="G112" s="33">
        <v>22.0</v>
      </c>
      <c r="H112" s="33">
        <v>10.0</v>
      </c>
      <c r="I112" s="33">
        <v>38.4</v>
      </c>
      <c r="J112" s="33">
        <v>21.0</v>
      </c>
      <c r="K112" s="45">
        <v>26.0</v>
      </c>
      <c r="L112" s="45">
        <v>79.0</v>
      </c>
      <c r="N112" s="29">
        <f t="shared" si="1"/>
        <v>309.5</v>
      </c>
    </row>
    <row r="113" ht="15.75" customHeight="1">
      <c r="A113" s="31" t="s">
        <v>27</v>
      </c>
      <c r="B113" s="33">
        <v>11.0</v>
      </c>
      <c r="C113" s="33">
        <v>17.3</v>
      </c>
      <c r="D113" s="33">
        <v>0.0</v>
      </c>
      <c r="E113" s="33">
        <v>0.0</v>
      </c>
      <c r="F113" s="33">
        <v>0.0</v>
      </c>
      <c r="G113" s="33">
        <v>10.0</v>
      </c>
      <c r="H113" s="33">
        <v>20.0</v>
      </c>
      <c r="I113" s="33">
        <v>0.0</v>
      </c>
      <c r="J113" s="33">
        <v>0.0</v>
      </c>
      <c r="K113" s="45">
        <v>1.0</v>
      </c>
      <c r="L113" s="45">
        <v>0.0</v>
      </c>
      <c r="N113" s="29">
        <f t="shared" si="1"/>
        <v>59.3</v>
      </c>
    </row>
    <row r="114" ht="15.75" customHeight="1">
      <c r="A114" s="34" t="s">
        <v>28</v>
      </c>
      <c r="B114" s="46">
        <f t="shared" ref="B114:L114" si="20">SUM(B112:B113)</f>
        <v>44</v>
      </c>
      <c r="C114" s="46">
        <f t="shared" si="20"/>
        <v>41.4</v>
      </c>
      <c r="D114" s="46">
        <f t="shared" si="20"/>
        <v>0</v>
      </c>
      <c r="E114" s="46">
        <f t="shared" si="20"/>
        <v>26.5</v>
      </c>
      <c r="F114" s="46">
        <f t="shared" si="20"/>
        <v>29.5</v>
      </c>
      <c r="G114" s="18">
        <f t="shared" si="20"/>
        <v>32</v>
      </c>
      <c r="H114" s="18">
        <f t="shared" si="20"/>
        <v>30</v>
      </c>
      <c r="I114" s="46">
        <f t="shared" si="20"/>
        <v>38.4</v>
      </c>
      <c r="J114" s="46">
        <f t="shared" si="20"/>
        <v>21</v>
      </c>
      <c r="K114" s="47">
        <f t="shared" si="20"/>
        <v>27</v>
      </c>
      <c r="L114" s="47">
        <f t="shared" si="20"/>
        <v>79</v>
      </c>
      <c r="M114" s="20"/>
      <c r="N114" s="49">
        <f t="shared" si="1"/>
        <v>368.8</v>
      </c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K115" s="50"/>
      <c r="L115" s="50"/>
      <c r="N115" s="29">
        <f t="shared" si="1"/>
        <v>0</v>
      </c>
    </row>
    <row r="116" ht="15.75" customHeight="1">
      <c r="A116" s="37">
        <v>45767.0</v>
      </c>
      <c r="B116" s="29"/>
      <c r="C116" s="29"/>
      <c r="D116" s="29"/>
      <c r="E116" s="29"/>
      <c r="F116" s="29"/>
      <c r="G116" s="29"/>
      <c r="H116" s="29"/>
      <c r="I116" s="29"/>
      <c r="J116" s="29"/>
      <c r="K116" s="50"/>
      <c r="L116" s="50"/>
      <c r="N116" s="29">
        <f t="shared" si="1"/>
        <v>0</v>
      </c>
    </row>
    <row r="117" ht="15.75" customHeight="1">
      <c r="A117" s="30" t="s">
        <v>14</v>
      </c>
      <c r="B117" s="30" t="s">
        <v>29</v>
      </c>
      <c r="C117" s="30" t="s">
        <v>30</v>
      </c>
      <c r="D117" s="30" t="s">
        <v>17</v>
      </c>
      <c r="E117" s="30" t="s">
        <v>31</v>
      </c>
      <c r="F117" s="30" t="s">
        <v>19</v>
      </c>
      <c r="G117" s="30" t="s">
        <v>20</v>
      </c>
      <c r="H117" s="30" t="s">
        <v>21</v>
      </c>
      <c r="I117" s="30" t="s">
        <v>22</v>
      </c>
      <c r="J117" s="30" t="s">
        <v>23</v>
      </c>
      <c r="K117" s="44" t="s">
        <v>24</v>
      </c>
      <c r="L117" s="44" t="s">
        <v>25</v>
      </c>
      <c r="N117" s="29">
        <f t="shared" si="1"/>
        <v>0</v>
      </c>
    </row>
    <row r="118" ht="15.75" customHeight="1">
      <c r="A118" s="31" t="s">
        <v>26</v>
      </c>
      <c r="B118" s="33">
        <v>29.0</v>
      </c>
      <c r="C118" s="33">
        <v>23.0</v>
      </c>
      <c r="D118" s="33">
        <v>29.8</v>
      </c>
      <c r="E118" s="33">
        <v>36.5</v>
      </c>
      <c r="F118" s="33">
        <v>31.5</v>
      </c>
      <c r="G118" s="33">
        <v>10.0</v>
      </c>
      <c r="H118" s="33">
        <v>25.0</v>
      </c>
      <c r="I118" s="33">
        <v>16.9</v>
      </c>
      <c r="J118" s="33">
        <v>19.5</v>
      </c>
      <c r="K118" s="45">
        <v>27.0</v>
      </c>
      <c r="L118" s="45">
        <v>80.0</v>
      </c>
      <c r="N118" s="29">
        <f t="shared" si="1"/>
        <v>328.2</v>
      </c>
    </row>
    <row r="119" ht="15.75" customHeight="1">
      <c r="A119" s="31" t="s">
        <v>27</v>
      </c>
      <c r="B119" s="33">
        <v>10.0</v>
      </c>
      <c r="C119" s="33">
        <v>8.0</v>
      </c>
      <c r="D119" s="33">
        <v>19.0</v>
      </c>
      <c r="E119" s="33">
        <v>0.0</v>
      </c>
      <c r="F119" s="33">
        <v>0.0</v>
      </c>
      <c r="G119" s="33">
        <v>30.0</v>
      </c>
      <c r="H119" s="33">
        <v>8.0</v>
      </c>
      <c r="I119" s="33">
        <v>0.0</v>
      </c>
      <c r="J119" s="33">
        <v>0.0</v>
      </c>
      <c r="K119" s="45">
        <v>1.0</v>
      </c>
      <c r="L119" s="45">
        <v>0.0</v>
      </c>
      <c r="N119" s="29">
        <f t="shared" si="1"/>
        <v>76</v>
      </c>
    </row>
    <row r="120" ht="15.75" customHeight="1">
      <c r="A120" s="34" t="s">
        <v>28</v>
      </c>
      <c r="B120" s="46">
        <f t="shared" ref="B120:L120" si="21">SUM(B118:B119)</f>
        <v>39</v>
      </c>
      <c r="C120" s="46">
        <f t="shared" si="21"/>
        <v>31</v>
      </c>
      <c r="D120" s="46">
        <f t="shared" si="21"/>
        <v>48.8</v>
      </c>
      <c r="E120" s="46">
        <f t="shared" si="21"/>
        <v>36.5</v>
      </c>
      <c r="F120" s="46">
        <f t="shared" si="21"/>
        <v>31.5</v>
      </c>
      <c r="G120" s="18">
        <f t="shared" si="21"/>
        <v>40</v>
      </c>
      <c r="H120" s="18">
        <f t="shared" si="21"/>
        <v>33</v>
      </c>
      <c r="I120" s="46">
        <f t="shared" si="21"/>
        <v>16.9</v>
      </c>
      <c r="J120" s="46">
        <f t="shared" si="21"/>
        <v>19.5</v>
      </c>
      <c r="K120" s="47">
        <f t="shared" si="21"/>
        <v>28</v>
      </c>
      <c r="L120" s="47">
        <f t="shared" si="21"/>
        <v>80</v>
      </c>
      <c r="M120" s="20"/>
      <c r="N120" s="49">
        <f t="shared" si="1"/>
        <v>404.2</v>
      </c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K121" s="50"/>
      <c r="L121" s="50"/>
      <c r="N121" s="29">
        <f t="shared" si="1"/>
        <v>0</v>
      </c>
    </row>
    <row r="122" ht="15.75" customHeight="1">
      <c r="A122" s="37">
        <v>45768.0</v>
      </c>
      <c r="B122" s="29"/>
      <c r="C122" s="29"/>
      <c r="D122" s="29"/>
      <c r="E122" s="29"/>
      <c r="F122" s="29"/>
      <c r="G122" s="29"/>
      <c r="H122" s="29"/>
      <c r="I122" s="29"/>
      <c r="J122" s="29"/>
      <c r="K122" s="50"/>
      <c r="L122" s="50"/>
      <c r="N122" s="29">
        <f t="shared" si="1"/>
        <v>0</v>
      </c>
    </row>
    <row r="123" ht="15.75" customHeight="1">
      <c r="A123" s="30" t="s">
        <v>14</v>
      </c>
      <c r="B123" s="30" t="s">
        <v>29</v>
      </c>
      <c r="C123" s="30" t="s">
        <v>30</v>
      </c>
      <c r="D123" s="30" t="s">
        <v>17</v>
      </c>
      <c r="E123" s="30" t="s">
        <v>31</v>
      </c>
      <c r="F123" s="30" t="s">
        <v>19</v>
      </c>
      <c r="G123" s="30" t="s">
        <v>20</v>
      </c>
      <c r="H123" s="30" t="s">
        <v>21</v>
      </c>
      <c r="I123" s="30" t="s">
        <v>22</v>
      </c>
      <c r="J123" s="30" t="s">
        <v>23</v>
      </c>
      <c r="K123" s="44" t="s">
        <v>24</v>
      </c>
      <c r="L123" s="44" t="s">
        <v>25</v>
      </c>
      <c r="N123" s="29">
        <f t="shared" si="1"/>
        <v>0</v>
      </c>
    </row>
    <row r="124" ht="15.75" customHeight="1">
      <c r="A124" s="31" t="s">
        <v>26</v>
      </c>
      <c r="B124" s="33">
        <v>68.0</v>
      </c>
      <c r="C124" s="33">
        <v>34.6</v>
      </c>
      <c r="D124" s="33">
        <v>16.9</v>
      </c>
      <c r="E124" s="33">
        <v>39.0</v>
      </c>
      <c r="F124" s="33">
        <v>24.5</v>
      </c>
      <c r="G124" s="33">
        <v>8.0</v>
      </c>
      <c r="H124" s="33">
        <v>15.0</v>
      </c>
      <c r="I124" s="33">
        <v>28.9</v>
      </c>
      <c r="J124" s="33">
        <v>36.2</v>
      </c>
      <c r="K124" s="45">
        <v>29.0</v>
      </c>
      <c r="L124" s="45">
        <v>89.0</v>
      </c>
      <c r="N124" s="29">
        <f t="shared" si="1"/>
        <v>389.1</v>
      </c>
    </row>
    <row r="125" ht="15.75" customHeight="1">
      <c r="A125" s="31" t="s">
        <v>27</v>
      </c>
      <c r="B125" s="33">
        <v>27.0</v>
      </c>
      <c r="C125" s="33">
        <v>22.2</v>
      </c>
      <c r="D125" s="33">
        <v>8.0</v>
      </c>
      <c r="E125" s="33">
        <v>40.5</v>
      </c>
      <c r="F125" s="33">
        <v>30.6</v>
      </c>
      <c r="G125" s="33">
        <v>10.0</v>
      </c>
      <c r="H125" s="33">
        <v>8.0</v>
      </c>
      <c r="I125" s="33">
        <v>29.2</v>
      </c>
      <c r="J125" s="33">
        <v>36.11</v>
      </c>
      <c r="K125" s="45">
        <v>1.0</v>
      </c>
      <c r="L125" s="45">
        <v>0.0</v>
      </c>
      <c r="N125" s="29">
        <f t="shared" si="1"/>
        <v>212.61</v>
      </c>
    </row>
    <row r="126" ht="15.75" customHeight="1">
      <c r="A126" s="34" t="s">
        <v>28</v>
      </c>
      <c r="B126" s="46">
        <f t="shared" ref="B126:C126" si="22">SUM(B124:B125)</f>
        <v>95</v>
      </c>
      <c r="C126" s="46">
        <f t="shared" si="22"/>
        <v>56.8</v>
      </c>
      <c r="D126" s="34">
        <v>0.0</v>
      </c>
      <c r="E126" s="34">
        <v>0.0</v>
      </c>
      <c r="F126" s="34">
        <v>0.0</v>
      </c>
      <c r="G126" s="18">
        <f t="shared" ref="G126:H126" si="23">SUM(G124:G125)</f>
        <v>18</v>
      </c>
      <c r="H126" s="18">
        <f t="shared" si="23"/>
        <v>23</v>
      </c>
      <c r="I126" s="34">
        <v>0.0</v>
      </c>
      <c r="J126" s="34">
        <v>0.0</v>
      </c>
      <c r="K126" s="47">
        <f t="shared" ref="K126:L126" si="24">SUM(K124:K125)</f>
        <v>30</v>
      </c>
      <c r="L126" s="47">
        <f t="shared" si="24"/>
        <v>89</v>
      </c>
      <c r="M126" s="20"/>
      <c r="N126" s="49">
        <f t="shared" si="1"/>
        <v>311.8</v>
      </c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K127" s="50"/>
      <c r="L127" s="50"/>
      <c r="N127" s="29">
        <f t="shared" si="1"/>
        <v>0</v>
      </c>
    </row>
    <row r="128" ht="15.75" customHeight="1">
      <c r="A128" s="37">
        <v>45769.0</v>
      </c>
      <c r="B128" s="29"/>
      <c r="C128" s="29"/>
      <c r="D128" s="29"/>
      <c r="E128" s="29"/>
      <c r="F128" s="29"/>
      <c r="G128" s="29"/>
      <c r="H128" s="29"/>
      <c r="I128" s="29"/>
      <c r="J128" s="29"/>
      <c r="K128" s="50"/>
      <c r="L128" s="50"/>
      <c r="N128" s="29">
        <f t="shared" si="1"/>
        <v>0</v>
      </c>
    </row>
    <row r="129" ht="15.75" customHeight="1">
      <c r="A129" s="30" t="s">
        <v>14</v>
      </c>
      <c r="B129" s="30" t="s">
        <v>29</v>
      </c>
      <c r="C129" s="30" t="s">
        <v>30</v>
      </c>
      <c r="D129" s="30" t="s">
        <v>17</v>
      </c>
      <c r="E129" s="30" t="s">
        <v>31</v>
      </c>
      <c r="F129" s="30" t="s">
        <v>19</v>
      </c>
      <c r="G129" s="30" t="s">
        <v>20</v>
      </c>
      <c r="H129" s="30" t="s">
        <v>21</v>
      </c>
      <c r="I129" s="30" t="s">
        <v>22</v>
      </c>
      <c r="J129" s="30" t="s">
        <v>23</v>
      </c>
      <c r="K129" s="44" t="s">
        <v>24</v>
      </c>
      <c r="L129" s="44" t="s">
        <v>25</v>
      </c>
      <c r="N129" s="29">
        <f t="shared" si="1"/>
        <v>0</v>
      </c>
    </row>
    <row r="130" ht="15.75" customHeight="1">
      <c r="A130" s="31" t="s">
        <v>26</v>
      </c>
      <c r="B130" s="33">
        <v>42.0</v>
      </c>
      <c r="C130" s="33">
        <v>32.0</v>
      </c>
      <c r="D130" s="33">
        <v>17.5</v>
      </c>
      <c r="E130" s="33">
        <v>35.6</v>
      </c>
      <c r="F130" s="33">
        <v>30.6</v>
      </c>
      <c r="G130" s="21">
        <v>20.0</v>
      </c>
      <c r="H130" s="21">
        <v>25.0</v>
      </c>
      <c r="I130" s="33">
        <v>29.5</v>
      </c>
      <c r="J130" s="33">
        <v>30.5</v>
      </c>
      <c r="K130" s="45">
        <v>30.0</v>
      </c>
      <c r="L130" s="45">
        <v>87.0</v>
      </c>
      <c r="N130" s="29">
        <f t="shared" si="1"/>
        <v>379.7</v>
      </c>
    </row>
    <row r="131" ht="15.75" customHeight="1">
      <c r="A131" s="31" t="s">
        <v>27</v>
      </c>
      <c r="B131" s="33">
        <v>19.0</v>
      </c>
      <c r="C131" s="33">
        <v>12.0</v>
      </c>
      <c r="D131" s="33">
        <v>26.5</v>
      </c>
      <c r="E131" s="33">
        <v>0.0</v>
      </c>
      <c r="F131" s="33">
        <v>0.0</v>
      </c>
      <c r="G131" s="33">
        <v>25.0</v>
      </c>
      <c r="H131" s="33">
        <v>10.0</v>
      </c>
      <c r="I131" s="33">
        <v>0.0</v>
      </c>
      <c r="J131" s="33">
        <v>0.0</v>
      </c>
      <c r="K131" s="45">
        <v>1.0</v>
      </c>
      <c r="L131" s="45">
        <v>0.0</v>
      </c>
      <c r="N131" s="29">
        <f t="shared" si="1"/>
        <v>93.5</v>
      </c>
    </row>
    <row r="132" ht="15.75" customHeight="1">
      <c r="A132" s="34" t="s">
        <v>28</v>
      </c>
      <c r="B132" s="46">
        <f>SUM(B130:B131)</f>
        <v>61</v>
      </c>
      <c r="C132" s="34">
        <v>0.0</v>
      </c>
      <c r="D132" s="34">
        <v>0.0</v>
      </c>
      <c r="E132" s="34">
        <v>0.0</v>
      </c>
      <c r="F132" s="34">
        <v>0.0</v>
      </c>
      <c r="G132" s="18">
        <f t="shared" ref="G132:H132" si="25">SUM(G130:G131)</f>
        <v>45</v>
      </c>
      <c r="H132" s="18">
        <f t="shared" si="25"/>
        <v>35</v>
      </c>
      <c r="I132" s="34">
        <v>0.0</v>
      </c>
      <c r="J132" s="34">
        <v>0.0</v>
      </c>
      <c r="K132" s="47">
        <f t="shared" ref="K132:L132" si="26">SUM(K130:K131)</f>
        <v>31</v>
      </c>
      <c r="L132" s="47">
        <f t="shared" si="26"/>
        <v>87</v>
      </c>
      <c r="M132" s="20"/>
      <c r="N132" s="49">
        <f t="shared" si="1"/>
        <v>259</v>
      </c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K133" s="50"/>
      <c r="L133" s="50"/>
      <c r="N133" s="29">
        <f t="shared" si="1"/>
        <v>0</v>
      </c>
    </row>
    <row r="134" ht="15.75" customHeight="1">
      <c r="A134" s="37">
        <v>45770.0</v>
      </c>
      <c r="B134" s="29"/>
      <c r="C134" s="29"/>
      <c r="D134" s="29"/>
      <c r="E134" s="29"/>
      <c r="F134" s="29"/>
      <c r="G134" s="29"/>
      <c r="H134" s="29"/>
      <c r="I134" s="29"/>
      <c r="J134" s="29"/>
      <c r="K134" s="50"/>
      <c r="L134" s="50"/>
      <c r="N134" s="29">
        <f t="shared" si="1"/>
        <v>0</v>
      </c>
    </row>
    <row r="135" ht="15.75" customHeight="1">
      <c r="A135" s="30" t="s">
        <v>14</v>
      </c>
      <c r="B135" s="30" t="s">
        <v>29</v>
      </c>
      <c r="C135" s="30" t="s">
        <v>30</v>
      </c>
      <c r="D135" s="30" t="s">
        <v>17</v>
      </c>
      <c r="E135" s="30" t="s">
        <v>31</v>
      </c>
      <c r="F135" s="30" t="s">
        <v>19</v>
      </c>
      <c r="G135" s="30" t="s">
        <v>20</v>
      </c>
      <c r="H135" s="30" t="s">
        <v>21</v>
      </c>
      <c r="I135" s="30" t="s">
        <v>22</v>
      </c>
      <c r="J135" s="30" t="s">
        <v>23</v>
      </c>
      <c r="K135" s="44" t="s">
        <v>24</v>
      </c>
      <c r="L135" s="44" t="s">
        <v>25</v>
      </c>
      <c r="N135" s="29">
        <f t="shared" si="1"/>
        <v>0</v>
      </c>
    </row>
    <row r="136" ht="15.75" customHeight="1">
      <c r="A136" s="31" t="s">
        <v>26</v>
      </c>
      <c r="B136" s="33">
        <v>24.0</v>
      </c>
      <c r="C136" s="33">
        <v>26.0</v>
      </c>
      <c r="D136" s="33">
        <v>27.9</v>
      </c>
      <c r="E136" s="33">
        <v>15.4</v>
      </c>
      <c r="F136" s="33">
        <v>16.5</v>
      </c>
      <c r="G136" s="33">
        <v>25.0</v>
      </c>
      <c r="H136" s="21">
        <v>16.0</v>
      </c>
      <c r="I136" s="33">
        <v>14.2</v>
      </c>
      <c r="J136" s="33">
        <v>36.4</v>
      </c>
      <c r="K136" s="45">
        <v>26.0</v>
      </c>
      <c r="L136" s="45">
        <v>88.0</v>
      </c>
      <c r="N136" s="29">
        <f t="shared" si="1"/>
        <v>315.4</v>
      </c>
    </row>
    <row r="137" ht="15.75" customHeight="1">
      <c r="A137" s="31" t="s">
        <v>27</v>
      </c>
      <c r="B137" s="33">
        <v>11.0</v>
      </c>
      <c r="C137" s="33">
        <v>17.0</v>
      </c>
      <c r="D137" s="33">
        <v>26.8</v>
      </c>
      <c r="E137" s="33">
        <v>0.0</v>
      </c>
      <c r="F137" s="33">
        <v>0.0</v>
      </c>
      <c r="G137" s="33">
        <v>25.0</v>
      </c>
      <c r="H137" s="33">
        <v>8.0</v>
      </c>
      <c r="I137" s="33">
        <v>0.0</v>
      </c>
      <c r="J137" s="33">
        <v>0.0</v>
      </c>
      <c r="K137" s="45">
        <v>1.0</v>
      </c>
      <c r="L137" s="45">
        <v>0.0</v>
      </c>
      <c r="N137" s="29">
        <f t="shared" si="1"/>
        <v>88.8</v>
      </c>
    </row>
    <row r="138" ht="15.75" customHeight="1">
      <c r="A138" s="34" t="s">
        <v>28</v>
      </c>
      <c r="B138" s="46">
        <f t="shared" ref="B138:C138" si="27">SUM(B136:B137)</f>
        <v>35</v>
      </c>
      <c r="C138" s="46">
        <f t="shared" si="27"/>
        <v>43</v>
      </c>
      <c r="D138" s="34">
        <v>0.0</v>
      </c>
      <c r="E138" s="34">
        <v>0.0</v>
      </c>
      <c r="F138" s="34">
        <v>0.0</v>
      </c>
      <c r="G138" s="18">
        <f t="shared" ref="G138:H138" si="28">SUM(G136:G137)</f>
        <v>50</v>
      </c>
      <c r="H138" s="18">
        <f t="shared" si="28"/>
        <v>24</v>
      </c>
      <c r="I138" s="34">
        <v>0.0</v>
      </c>
      <c r="J138" s="34">
        <v>0.0</v>
      </c>
      <c r="K138" s="47">
        <f t="shared" ref="K138:L138" si="29">SUM(K136:K137)</f>
        <v>27</v>
      </c>
      <c r="L138" s="47">
        <f t="shared" si="29"/>
        <v>88</v>
      </c>
      <c r="M138" s="20"/>
      <c r="N138" s="49">
        <f t="shared" si="1"/>
        <v>267</v>
      </c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K139" s="50"/>
      <c r="L139" s="50"/>
      <c r="N139" s="29">
        <f t="shared" si="1"/>
        <v>0</v>
      </c>
    </row>
    <row r="140" ht="15.75" customHeight="1">
      <c r="A140" s="37">
        <v>45771.0</v>
      </c>
      <c r="B140" s="29"/>
      <c r="C140" s="29"/>
      <c r="D140" s="29"/>
      <c r="E140" s="29"/>
      <c r="F140" s="29"/>
      <c r="G140" s="29"/>
      <c r="H140" s="29"/>
      <c r="I140" s="29"/>
      <c r="J140" s="29"/>
      <c r="K140" s="50"/>
      <c r="L140" s="50"/>
      <c r="N140" s="29">
        <f t="shared" si="1"/>
        <v>0</v>
      </c>
    </row>
    <row r="141" ht="15.75" customHeight="1">
      <c r="A141" s="30" t="s">
        <v>14</v>
      </c>
      <c r="B141" s="30" t="s">
        <v>29</v>
      </c>
      <c r="C141" s="30" t="s">
        <v>30</v>
      </c>
      <c r="D141" s="30" t="s">
        <v>17</v>
      </c>
      <c r="E141" s="30" t="s">
        <v>31</v>
      </c>
      <c r="F141" s="30" t="s">
        <v>19</v>
      </c>
      <c r="G141" s="30" t="s">
        <v>20</v>
      </c>
      <c r="H141" s="30" t="s">
        <v>21</v>
      </c>
      <c r="I141" s="30" t="s">
        <v>22</v>
      </c>
      <c r="J141" s="30" t="s">
        <v>23</v>
      </c>
      <c r="K141" s="44" t="s">
        <v>24</v>
      </c>
      <c r="L141" s="44" t="s">
        <v>25</v>
      </c>
      <c r="N141" s="29">
        <f t="shared" si="1"/>
        <v>0</v>
      </c>
    </row>
    <row r="142" ht="15.75" customHeight="1">
      <c r="A142" s="31" t="s">
        <v>26</v>
      </c>
      <c r="B142" s="33">
        <v>83.0</v>
      </c>
      <c r="C142" s="33">
        <v>26.2</v>
      </c>
      <c r="D142" s="33">
        <v>50.0</v>
      </c>
      <c r="E142" s="33">
        <v>12.4</v>
      </c>
      <c r="F142" s="33">
        <v>15.5</v>
      </c>
      <c r="G142" s="33">
        <v>21.0</v>
      </c>
      <c r="H142" s="21">
        <v>20.0</v>
      </c>
      <c r="I142" s="33">
        <v>17.4</v>
      </c>
      <c r="J142" s="33">
        <v>32.7</v>
      </c>
      <c r="K142" s="45">
        <v>29.0</v>
      </c>
      <c r="L142" s="60">
        <v>70.0</v>
      </c>
      <c r="N142" s="29">
        <f t="shared" si="1"/>
        <v>377.2</v>
      </c>
    </row>
    <row r="143" ht="15.75" customHeight="1">
      <c r="A143" s="31" t="s">
        <v>27</v>
      </c>
      <c r="B143" s="33">
        <v>40.0</v>
      </c>
      <c r="C143" s="33">
        <v>17.1</v>
      </c>
      <c r="D143" s="33">
        <v>40.0</v>
      </c>
      <c r="E143" s="33">
        <v>40.5</v>
      </c>
      <c r="F143" s="33">
        <v>30.5</v>
      </c>
      <c r="G143" s="33">
        <v>25.0</v>
      </c>
      <c r="H143" s="33">
        <v>10.0</v>
      </c>
      <c r="I143" s="33">
        <v>45.5</v>
      </c>
      <c r="J143" s="33">
        <v>41.6</v>
      </c>
      <c r="K143" s="45">
        <v>1.0</v>
      </c>
      <c r="L143" s="60">
        <v>1.0</v>
      </c>
      <c r="N143" s="29">
        <f t="shared" si="1"/>
        <v>292.2</v>
      </c>
    </row>
    <row r="144" ht="15.75" customHeight="1">
      <c r="A144" s="34" t="s">
        <v>28</v>
      </c>
      <c r="B144" s="46">
        <f t="shared" ref="B144:L144" si="30">SUM(B142:B143)</f>
        <v>123</v>
      </c>
      <c r="C144" s="46">
        <f t="shared" si="30"/>
        <v>43.3</v>
      </c>
      <c r="D144" s="46">
        <f t="shared" si="30"/>
        <v>90</v>
      </c>
      <c r="E144" s="46">
        <f t="shared" si="30"/>
        <v>52.9</v>
      </c>
      <c r="F144" s="46">
        <f t="shared" si="30"/>
        <v>46</v>
      </c>
      <c r="G144" s="18">
        <f t="shared" si="30"/>
        <v>46</v>
      </c>
      <c r="H144" s="18">
        <f t="shared" si="30"/>
        <v>30</v>
      </c>
      <c r="I144" s="46">
        <f t="shared" si="30"/>
        <v>62.9</v>
      </c>
      <c r="J144" s="46">
        <f t="shared" si="30"/>
        <v>74.3</v>
      </c>
      <c r="K144" s="47">
        <f t="shared" si="30"/>
        <v>30</v>
      </c>
      <c r="L144" s="47">
        <f t="shared" si="30"/>
        <v>71</v>
      </c>
      <c r="M144" s="20"/>
      <c r="N144" s="49">
        <f t="shared" si="1"/>
        <v>669.4</v>
      </c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N145" s="29">
        <f t="shared" si="1"/>
        <v>0</v>
      </c>
    </row>
    <row r="146" ht="15.75" customHeight="1">
      <c r="A146" s="37">
        <v>45772.0</v>
      </c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N146" s="29">
        <f t="shared" si="1"/>
        <v>0</v>
      </c>
    </row>
    <row r="147" ht="15.75" customHeight="1">
      <c r="A147" s="30" t="s">
        <v>14</v>
      </c>
      <c r="B147" s="30" t="s">
        <v>29</v>
      </c>
      <c r="C147" s="30" t="s">
        <v>30</v>
      </c>
      <c r="D147" s="30" t="s">
        <v>17</v>
      </c>
      <c r="E147" s="30" t="s">
        <v>31</v>
      </c>
      <c r="F147" s="30" t="s">
        <v>19</v>
      </c>
      <c r="G147" s="30" t="s">
        <v>20</v>
      </c>
      <c r="H147" s="30" t="s">
        <v>21</v>
      </c>
      <c r="I147" s="30" t="s">
        <v>22</v>
      </c>
      <c r="J147" s="30" t="s">
        <v>23</v>
      </c>
      <c r="K147" s="44" t="s">
        <v>24</v>
      </c>
      <c r="L147" s="44" t="s">
        <v>25</v>
      </c>
      <c r="N147" s="29">
        <f t="shared" si="1"/>
        <v>0</v>
      </c>
    </row>
    <row r="148" ht="15.75" customHeight="1">
      <c r="A148" s="31" t="s">
        <v>26</v>
      </c>
      <c r="B148" s="33">
        <v>20.0</v>
      </c>
      <c r="C148" s="33">
        <v>36.1</v>
      </c>
      <c r="D148" s="33">
        <v>0.0</v>
      </c>
      <c r="E148" s="33">
        <v>10.4</v>
      </c>
      <c r="F148" s="33">
        <v>19.3</v>
      </c>
      <c r="G148" s="33">
        <v>15.0</v>
      </c>
      <c r="H148" s="33">
        <v>20.0</v>
      </c>
      <c r="I148" s="33">
        <v>12.5</v>
      </c>
      <c r="J148" s="33">
        <v>20.8</v>
      </c>
      <c r="K148" s="45">
        <v>30.0</v>
      </c>
      <c r="L148" s="45">
        <v>87.0</v>
      </c>
      <c r="N148" s="29">
        <f t="shared" si="1"/>
        <v>271.1</v>
      </c>
    </row>
    <row r="149" ht="15.75" customHeight="1">
      <c r="A149" s="31" t="s">
        <v>27</v>
      </c>
      <c r="B149" s="33">
        <v>8.0</v>
      </c>
      <c r="C149" s="33">
        <v>21.2</v>
      </c>
      <c r="D149" s="33">
        <v>0.0</v>
      </c>
      <c r="E149" s="33">
        <v>0.0</v>
      </c>
      <c r="F149" s="33">
        <v>0.0</v>
      </c>
      <c r="G149" s="33">
        <v>10.0</v>
      </c>
      <c r="H149" s="33">
        <v>10.0</v>
      </c>
      <c r="I149" s="33">
        <v>0.0</v>
      </c>
      <c r="J149" s="33">
        <v>0.0</v>
      </c>
      <c r="K149" s="45">
        <v>1.0</v>
      </c>
      <c r="L149" s="45">
        <v>0.0</v>
      </c>
      <c r="N149" s="29">
        <f t="shared" si="1"/>
        <v>50.2</v>
      </c>
    </row>
    <row r="150" ht="15.75" customHeight="1">
      <c r="A150" s="34" t="s">
        <v>28</v>
      </c>
      <c r="B150" s="46">
        <f t="shared" ref="B150:L150" si="31">SUM(B148:B149)</f>
        <v>28</v>
      </c>
      <c r="C150" s="46">
        <f t="shared" si="31"/>
        <v>57.3</v>
      </c>
      <c r="D150" s="46">
        <f t="shared" si="31"/>
        <v>0</v>
      </c>
      <c r="E150" s="46">
        <f t="shared" si="31"/>
        <v>10.4</v>
      </c>
      <c r="F150" s="46">
        <f t="shared" si="31"/>
        <v>19.3</v>
      </c>
      <c r="G150" s="18">
        <f t="shared" si="31"/>
        <v>25</v>
      </c>
      <c r="H150" s="18">
        <f t="shared" si="31"/>
        <v>30</v>
      </c>
      <c r="I150" s="46">
        <f t="shared" si="31"/>
        <v>12.5</v>
      </c>
      <c r="J150" s="46">
        <f t="shared" si="31"/>
        <v>20.8</v>
      </c>
      <c r="K150" s="47">
        <f t="shared" si="31"/>
        <v>31</v>
      </c>
      <c r="L150" s="47">
        <f t="shared" si="31"/>
        <v>87</v>
      </c>
      <c r="M150" s="20"/>
      <c r="N150" s="49">
        <f t="shared" si="1"/>
        <v>321.3</v>
      </c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K151" s="50"/>
      <c r="L151" s="50"/>
      <c r="N151" s="29">
        <f t="shared" si="1"/>
        <v>0</v>
      </c>
    </row>
    <row r="152" ht="15.75" customHeight="1">
      <c r="A152" s="37">
        <v>45773.0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50"/>
      <c r="L152" s="50"/>
      <c r="N152" s="29">
        <f t="shared" si="1"/>
        <v>0</v>
      </c>
    </row>
    <row r="153" ht="15.75" customHeight="1">
      <c r="A153" s="30" t="s">
        <v>14</v>
      </c>
      <c r="B153" s="30" t="s">
        <v>29</v>
      </c>
      <c r="C153" s="30" t="s">
        <v>30</v>
      </c>
      <c r="D153" s="30" t="s">
        <v>17</v>
      </c>
      <c r="E153" s="30" t="s">
        <v>31</v>
      </c>
      <c r="F153" s="30" t="s">
        <v>19</v>
      </c>
      <c r="G153" s="30" t="s">
        <v>21</v>
      </c>
      <c r="H153" s="30" t="s">
        <v>22</v>
      </c>
      <c r="I153" s="30" t="s">
        <v>22</v>
      </c>
      <c r="J153" s="30" t="s">
        <v>23</v>
      </c>
      <c r="K153" s="44" t="s">
        <v>24</v>
      </c>
      <c r="L153" s="44" t="s">
        <v>25</v>
      </c>
      <c r="N153" s="29">
        <f t="shared" si="1"/>
        <v>0</v>
      </c>
    </row>
    <row r="154" ht="15.75" customHeight="1">
      <c r="A154" s="31" t="s">
        <v>26</v>
      </c>
      <c r="B154" s="33">
        <v>54.0</v>
      </c>
      <c r="C154" s="33">
        <v>46.0</v>
      </c>
      <c r="D154" s="33">
        <v>0.0</v>
      </c>
      <c r="E154" s="33">
        <v>20.4</v>
      </c>
      <c r="F154" s="33">
        <v>18.8</v>
      </c>
      <c r="G154" s="21">
        <v>20.0</v>
      </c>
      <c r="H154" s="33">
        <v>12.5</v>
      </c>
      <c r="I154" s="33">
        <v>13.3</v>
      </c>
      <c r="J154" s="33">
        <v>29.9</v>
      </c>
      <c r="K154" s="45">
        <v>26.0</v>
      </c>
      <c r="L154" s="45">
        <v>88.0</v>
      </c>
      <c r="N154" s="29">
        <f t="shared" si="1"/>
        <v>328.9</v>
      </c>
    </row>
    <row r="155" ht="15.75" customHeight="1">
      <c r="A155" s="31" t="s">
        <v>27</v>
      </c>
      <c r="B155" s="33">
        <v>23.0</v>
      </c>
      <c r="C155" s="33">
        <v>17.0</v>
      </c>
      <c r="D155" s="33">
        <v>0.0</v>
      </c>
      <c r="E155" s="33">
        <v>26.0</v>
      </c>
      <c r="F155" s="33">
        <v>11.0</v>
      </c>
      <c r="G155" s="33">
        <v>10.0</v>
      </c>
      <c r="H155" s="33">
        <v>0.0</v>
      </c>
      <c r="I155" s="33">
        <v>80.0</v>
      </c>
      <c r="J155" s="33">
        <v>9.0</v>
      </c>
      <c r="K155" s="45">
        <v>1.0</v>
      </c>
      <c r="L155" s="45">
        <v>0.0</v>
      </c>
      <c r="N155" s="29">
        <f t="shared" si="1"/>
        <v>177</v>
      </c>
    </row>
    <row r="156" ht="15.75" customHeight="1">
      <c r="A156" s="34" t="s">
        <v>28</v>
      </c>
      <c r="B156" s="46">
        <f t="shared" ref="B156:L156" si="32">SUM(B154:B155)</f>
        <v>77</v>
      </c>
      <c r="C156" s="46">
        <f t="shared" si="32"/>
        <v>63</v>
      </c>
      <c r="D156" s="46">
        <f t="shared" si="32"/>
        <v>0</v>
      </c>
      <c r="E156" s="46">
        <f t="shared" si="32"/>
        <v>46.4</v>
      </c>
      <c r="F156" s="46">
        <f t="shared" si="32"/>
        <v>29.8</v>
      </c>
      <c r="G156" s="18">
        <f t="shared" si="32"/>
        <v>30</v>
      </c>
      <c r="H156" s="18">
        <f t="shared" si="32"/>
        <v>12.5</v>
      </c>
      <c r="I156" s="46">
        <f t="shared" si="32"/>
        <v>93.3</v>
      </c>
      <c r="J156" s="46">
        <f t="shared" si="32"/>
        <v>38.9</v>
      </c>
      <c r="K156" s="47">
        <f t="shared" si="32"/>
        <v>27</v>
      </c>
      <c r="L156" s="47">
        <f t="shared" si="32"/>
        <v>88</v>
      </c>
      <c r="M156" s="20"/>
      <c r="N156" s="49">
        <f t="shared" si="1"/>
        <v>505.9</v>
      </c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K157" s="50"/>
      <c r="L157" s="50"/>
      <c r="N157" s="29">
        <f t="shared" si="1"/>
        <v>0</v>
      </c>
    </row>
    <row r="158" ht="15.75" customHeight="1">
      <c r="A158" s="37">
        <v>45774.0</v>
      </c>
      <c r="B158" s="29"/>
      <c r="C158" s="29"/>
      <c r="D158" s="29"/>
      <c r="E158" s="29"/>
      <c r="F158" s="29"/>
      <c r="G158" s="29"/>
      <c r="H158" s="29"/>
      <c r="I158" s="29"/>
      <c r="J158" s="29"/>
      <c r="K158" s="50"/>
      <c r="L158" s="50"/>
      <c r="N158" s="29">
        <f t="shared" si="1"/>
        <v>0</v>
      </c>
    </row>
    <row r="159" ht="15.75" customHeight="1">
      <c r="A159" s="30" t="s">
        <v>14</v>
      </c>
      <c r="B159" s="30" t="s">
        <v>29</v>
      </c>
      <c r="C159" s="30" t="s">
        <v>30</v>
      </c>
      <c r="D159" s="30" t="s">
        <v>17</v>
      </c>
      <c r="E159" s="30" t="s">
        <v>31</v>
      </c>
      <c r="F159" s="30" t="s">
        <v>19</v>
      </c>
      <c r="G159" s="30" t="s">
        <v>20</v>
      </c>
      <c r="H159" s="30" t="s">
        <v>21</v>
      </c>
      <c r="I159" s="30" t="s">
        <v>22</v>
      </c>
      <c r="J159" s="30" t="s">
        <v>23</v>
      </c>
      <c r="K159" s="44" t="s">
        <v>24</v>
      </c>
      <c r="L159" s="44" t="s">
        <v>25</v>
      </c>
      <c r="N159" s="29">
        <f t="shared" si="1"/>
        <v>0</v>
      </c>
    </row>
    <row r="160" ht="15.75" customHeight="1">
      <c r="A160" s="31" t="s">
        <v>26</v>
      </c>
      <c r="B160" s="33">
        <v>60.0</v>
      </c>
      <c r="C160" s="33">
        <v>29.1</v>
      </c>
      <c r="D160" s="33">
        <v>10.0</v>
      </c>
      <c r="E160" s="33">
        <v>18.2</v>
      </c>
      <c r="F160" s="33">
        <v>16.6</v>
      </c>
      <c r="G160" s="33">
        <v>8.0</v>
      </c>
      <c r="H160" s="33">
        <v>15.0</v>
      </c>
      <c r="I160" s="33">
        <v>22.5</v>
      </c>
      <c r="J160" s="33">
        <v>34.2</v>
      </c>
      <c r="K160" s="45">
        <v>29.0</v>
      </c>
      <c r="L160" s="60">
        <v>70.0</v>
      </c>
      <c r="N160" s="29">
        <f t="shared" si="1"/>
        <v>312.6</v>
      </c>
    </row>
    <row r="161" ht="15.75" customHeight="1">
      <c r="A161" s="31" t="s">
        <v>27</v>
      </c>
      <c r="B161" s="33">
        <v>35.0</v>
      </c>
      <c r="C161" s="33">
        <v>17.3</v>
      </c>
      <c r="D161" s="33">
        <v>8.0</v>
      </c>
      <c r="E161" s="33">
        <v>0.0</v>
      </c>
      <c r="F161" s="33">
        <v>0.0</v>
      </c>
      <c r="G161" s="33">
        <v>10.0</v>
      </c>
      <c r="H161" s="33">
        <v>8.0</v>
      </c>
      <c r="I161" s="33">
        <v>0.0</v>
      </c>
      <c r="J161" s="33">
        <v>0.0</v>
      </c>
      <c r="K161" s="45">
        <v>1.0</v>
      </c>
      <c r="L161" s="60">
        <v>1.0</v>
      </c>
      <c r="N161" s="29">
        <f t="shared" si="1"/>
        <v>80.3</v>
      </c>
    </row>
    <row r="162" ht="15.75" customHeight="1">
      <c r="A162" s="34" t="s">
        <v>28</v>
      </c>
      <c r="B162" s="46">
        <f t="shared" ref="B162:L162" si="33">SUM(B160:B161)</f>
        <v>95</v>
      </c>
      <c r="C162" s="46">
        <f t="shared" si="33"/>
        <v>46.4</v>
      </c>
      <c r="D162" s="46">
        <f t="shared" si="33"/>
        <v>18</v>
      </c>
      <c r="E162" s="46">
        <f t="shared" si="33"/>
        <v>18.2</v>
      </c>
      <c r="F162" s="46">
        <f t="shared" si="33"/>
        <v>16.6</v>
      </c>
      <c r="G162" s="18">
        <f t="shared" si="33"/>
        <v>18</v>
      </c>
      <c r="H162" s="18">
        <f t="shared" si="33"/>
        <v>23</v>
      </c>
      <c r="I162" s="46">
        <f t="shared" si="33"/>
        <v>22.5</v>
      </c>
      <c r="J162" s="46">
        <f t="shared" si="33"/>
        <v>34.2</v>
      </c>
      <c r="K162" s="47">
        <f t="shared" si="33"/>
        <v>30</v>
      </c>
      <c r="L162" s="47">
        <f t="shared" si="33"/>
        <v>71</v>
      </c>
      <c r="M162" s="20"/>
      <c r="N162" s="49">
        <f t="shared" si="1"/>
        <v>392.9</v>
      </c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12"/>
      <c r="B163" s="12"/>
      <c r="C163" s="12"/>
      <c r="D163" s="12"/>
      <c r="E163" s="12"/>
      <c r="F163" s="12"/>
      <c r="I163" s="12"/>
      <c r="J163" s="12"/>
      <c r="K163" s="12"/>
      <c r="L163" s="12"/>
      <c r="N163" s="29">
        <f t="shared" si="1"/>
        <v>0</v>
      </c>
    </row>
    <row r="164" ht="15.75" customHeight="1">
      <c r="A164" s="37">
        <v>45775.0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N164" s="29">
        <f t="shared" si="1"/>
        <v>0</v>
      </c>
    </row>
    <row r="165" ht="15.75" customHeight="1">
      <c r="A165" s="30" t="s">
        <v>14</v>
      </c>
      <c r="B165" s="30" t="s">
        <v>29</v>
      </c>
      <c r="C165" s="30" t="s">
        <v>30</v>
      </c>
      <c r="D165" s="30" t="s">
        <v>17</v>
      </c>
      <c r="E165" s="30" t="s">
        <v>31</v>
      </c>
      <c r="F165" s="30" t="s">
        <v>19</v>
      </c>
      <c r="G165" s="30" t="s">
        <v>20</v>
      </c>
      <c r="H165" s="30" t="s">
        <v>21</v>
      </c>
      <c r="I165" s="30" t="s">
        <v>22</v>
      </c>
      <c r="J165" s="30" t="s">
        <v>23</v>
      </c>
      <c r="K165" s="44" t="s">
        <v>24</v>
      </c>
      <c r="L165" s="44" t="s">
        <v>25</v>
      </c>
      <c r="N165" s="29">
        <f t="shared" si="1"/>
        <v>0</v>
      </c>
    </row>
    <row r="166" ht="15.75" customHeight="1">
      <c r="A166" s="31" t="s">
        <v>26</v>
      </c>
      <c r="B166" s="32">
        <v>41.0</v>
      </c>
      <c r="C166" s="33">
        <v>59.0</v>
      </c>
      <c r="D166" s="33">
        <v>0.0</v>
      </c>
      <c r="E166" s="32">
        <v>9.4</v>
      </c>
      <c r="F166" s="32">
        <v>18.3</v>
      </c>
      <c r="G166" s="21">
        <v>20.0</v>
      </c>
      <c r="H166" s="21">
        <v>25.0</v>
      </c>
      <c r="I166" s="32">
        <v>26.4</v>
      </c>
      <c r="J166" s="32">
        <v>18.8</v>
      </c>
      <c r="K166" s="45">
        <v>30.0</v>
      </c>
      <c r="L166" s="45">
        <v>87.0</v>
      </c>
      <c r="N166" s="29">
        <f t="shared" si="1"/>
        <v>334.9</v>
      </c>
    </row>
    <row r="167" ht="15.75" customHeight="1">
      <c r="A167" s="31" t="s">
        <v>27</v>
      </c>
      <c r="B167" s="32">
        <v>16.0</v>
      </c>
      <c r="C167" s="33">
        <v>17.0</v>
      </c>
      <c r="D167" s="33">
        <v>0.0</v>
      </c>
      <c r="E167" s="33">
        <v>26.0</v>
      </c>
      <c r="F167" s="33">
        <v>11.0</v>
      </c>
      <c r="G167" s="33">
        <v>25.0</v>
      </c>
      <c r="H167" s="33">
        <v>10.0</v>
      </c>
      <c r="I167" s="33">
        <v>29.0</v>
      </c>
      <c r="J167" s="33">
        <v>31.0</v>
      </c>
      <c r="K167" s="45">
        <v>1.0</v>
      </c>
      <c r="L167" s="45">
        <v>0.0</v>
      </c>
      <c r="N167" s="29">
        <f t="shared" si="1"/>
        <v>166</v>
      </c>
    </row>
    <row r="168" ht="15.75" customHeight="1">
      <c r="A168" s="34" t="s">
        <v>28</v>
      </c>
      <c r="B168" s="46">
        <f t="shared" ref="B168:L168" si="34">SUM(B166:B167)</f>
        <v>57</v>
      </c>
      <c r="C168" s="46">
        <f t="shared" si="34"/>
        <v>76</v>
      </c>
      <c r="D168" s="46">
        <f t="shared" si="34"/>
        <v>0</v>
      </c>
      <c r="E168" s="46">
        <f t="shared" si="34"/>
        <v>35.4</v>
      </c>
      <c r="F168" s="46">
        <f t="shared" si="34"/>
        <v>29.3</v>
      </c>
      <c r="G168" s="18">
        <f t="shared" si="34"/>
        <v>45</v>
      </c>
      <c r="H168" s="18">
        <f t="shared" si="34"/>
        <v>35</v>
      </c>
      <c r="I168" s="46">
        <f t="shared" si="34"/>
        <v>55.4</v>
      </c>
      <c r="J168" s="46">
        <f t="shared" si="34"/>
        <v>49.8</v>
      </c>
      <c r="K168" s="47">
        <f t="shared" si="34"/>
        <v>31</v>
      </c>
      <c r="L168" s="47">
        <f t="shared" si="34"/>
        <v>87</v>
      </c>
      <c r="M168" s="20"/>
      <c r="N168" s="49">
        <f t="shared" si="1"/>
        <v>500.9</v>
      </c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12"/>
      <c r="B169" s="12"/>
      <c r="C169" s="12"/>
      <c r="D169" s="12"/>
      <c r="E169" s="12"/>
      <c r="F169" s="12"/>
      <c r="I169" s="12"/>
      <c r="J169" s="12"/>
      <c r="K169" s="50"/>
      <c r="L169" s="50"/>
      <c r="N169" s="29">
        <f t="shared" si="1"/>
        <v>0</v>
      </c>
    </row>
    <row r="170" ht="15.75" customHeight="1">
      <c r="A170" s="37">
        <v>45776.0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50"/>
      <c r="L170" s="50"/>
      <c r="N170" s="29">
        <f t="shared" si="1"/>
        <v>0</v>
      </c>
    </row>
    <row r="171" ht="15.75" customHeight="1">
      <c r="A171" s="30" t="s">
        <v>14</v>
      </c>
      <c r="B171" s="30" t="s">
        <v>29</v>
      </c>
      <c r="C171" s="30" t="s">
        <v>30</v>
      </c>
      <c r="D171" s="30" t="s">
        <v>17</v>
      </c>
      <c r="E171" s="30" t="s">
        <v>31</v>
      </c>
      <c r="F171" s="30" t="s">
        <v>19</v>
      </c>
      <c r="G171" s="30" t="s">
        <v>20</v>
      </c>
      <c r="H171" s="30" t="s">
        <v>21</v>
      </c>
      <c r="I171" s="30" t="s">
        <v>22</v>
      </c>
      <c r="J171" s="30" t="s">
        <v>23</v>
      </c>
      <c r="K171" s="44" t="s">
        <v>24</v>
      </c>
      <c r="L171" s="44" t="s">
        <v>25</v>
      </c>
      <c r="N171" s="29">
        <f t="shared" si="1"/>
        <v>0</v>
      </c>
    </row>
    <row r="172" ht="15.75" customHeight="1">
      <c r="A172" s="31" t="s">
        <v>26</v>
      </c>
      <c r="B172" s="33">
        <v>60.0</v>
      </c>
      <c r="C172" s="33">
        <v>26.2</v>
      </c>
      <c r="D172" s="33">
        <v>50.0</v>
      </c>
      <c r="E172" s="33">
        <v>12.4</v>
      </c>
      <c r="F172" s="33">
        <v>15.5</v>
      </c>
      <c r="G172" s="33">
        <v>25.0</v>
      </c>
      <c r="H172" s="21">
        <v>16.0</v>
      </c>
      <c r="I172" s="33">
        <v>17.4</v>
      </c>
      <c r="J172" s="33">
        <v>32.7</v>
      </c>
      <c r="K172" s="45">
        <v>26.0</v>
      </c>
      <c r="L172" s="45">
        <v>88.0</v>
      </c>
      <c r="N172" s="29">
        <f t="shared" si="1"/>
        <v>369.2</v>
      </c>
    </row>
    <row r="173" ht="15.75" customHeight="1">
      <c r="A173" s="31" t="s">
        <v>27</v>
      </c>
      <c r="B173" s="33">
        <v>35.0</v>
      </c>
      <c r="C173" s="33">
        <v>17.1</v>
      </c>
      <c r="D173" s="33">
        <v>40.0</v>
      </c>
      <c r="E173" s="33">
        <v>36.5</v>
      </c>
      <c r="F173" s="33">
        <v>29.8</v>
      </c>
      <c r="G173" s="33">
        <v>25.0</v>
      </c>
      <c r="H173" s="33">
        <v>8.0</v>
      </c>
      <c r="I173" s="33">
        <v>34.6</v>
      </c>
      <c r="J173" s="33">
        <v>40.0</v>
      </c>
      <c r="K173" s="45">
        <v>1.0</v>
      </c>
      <c r="L173" s="45">
        <v>0.0</v>
      </c>
      <c r="N173" s="29">
        <f t="shared" si="1"/>
        <v>267</v>
      </c>
    </row>
    <row r="174" ht="15.75" customHeight="1">
      <c r="A174" s="34" t="s">
        <v>28</v>
      </c>
      <c r="B174" s="46">
        <f t="shared" ref="B174:L174" si="35">SUM(B172:B173)</f>
        <v>95</v>
      </c>
      <c r="C174" s="46">
        <f t="shared" si="35"/>
        <v>43.3</v>
      </c>
      <c r="D174" s="46">
        <f t="shared" si="35"/>
        <v>90</v>
      </c>
      <c r="E174" s="46">
        <f t="shared" si="35"/>
        <v>48.9</v>
      </c>
      <c r="F174" s="46">
        <f t="shared" si="35"/>
        <v>45.3</v>
      </c>
      <c r="G174" s="18">
        <f t="shared" si="35"/>
        <v>50</v>
      </c>
      <c r="H174" s="18">
        <f t="shared" si="35"/>
        <v>24</v>
      </c>
      <c r="I174" s="46">
        <f t="shared" si="35"/>
        <v>52</v>
      </c>
      <c r="J174" s="46">
        <f t="shared" si="35"/>
        <v>72.7</v>
      </c>
      <c r="K174" s="47">
        <f t="shared" si="35"/>
        <v>27</v>
      </c>
      <c r="L174" s="47">
        <f t="shared" si="35"/>
        <v>88</v>
      </c>
      <c r="M174" s="20"/>
      <c r="N174" s="49">
        <f t="shared" si="1"/>
        <v>636.2</v>
      </c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K175" s="50"/>
      <c r="L175" s="50"/>
      <c r="N175" s="29">
        <f t="shared" si="1"/>
        <v>0</v>
      </c>
    </row>
    <row r="176" ht="15.75" customHeight="1">
      <c r="A176" s="37">
        <v>45777.0</v>
      </c>
      <c r="B176" s="29"/>
      <c r="C176" s="29"/>
      <c r="D176" s="29"/>
      <c r="E176" s="29"/>
      <c r="F176" s="29"/>
      <c r="G176" s="29"/>
      <c r="H176" s="29"/>
      <c r="I176" s="29"/>
      <c r="J176" s="29"/>
      <c r="K176" s="50"/>
      <c r="L176" s="50"/>
      <c r="N176" s="29">
        <f t="shared" si="1"/>
        <v>0</v>
      </c>
    </row>
    <row r="177" ht="15.75" customHeight="1">
      <c r="A177" s="30" t="s">
        <v>14</v>
      </c>
      <c r="B177" s="30" t="s">
        <v>29</v>
      </c>
      <c r="C177" s="30" t="s">
        <v>30</v>
      </c>
      <c r="D177" s="30" t="s">
        <v>17</v>
      </c>
      <c r="E177" s="30" t="s">
        <v>31</v>
      </c>
      <c r="F177" s="30" t="s">
        <v>19</v>
      </c>
      <c r="G177" s="30" t="s">
        <v>20</v>
      </c>
      <c r="H177" s="30" t="s">
        <v>21</v>
      </c>
      <c r="I177" s="30" t="s">
        <v>22</v>
      </c>
      <c r="J177" s="30" t="s">
        <v>23</v>
      </c>
      <c r="K177" s="44" t="s">
        <v>24</v>
      </c>
      <c r="L177" s="44" t="s">
        <v>25</v>
      </c>
      <c r="N177" s="29">
        <f t="shared" si="1"/>
        <v>0</v>
      </c>
    </row>
    <row r="178" ht="15.75" customHeight="1">
      <c r="A178" s="31" t="s">
        <v>26</v>
      </c>
      <c r="B178" s="33">
        <v>20.0</v>
      </c>
      <c r="C178" s="33">
        <v>36.1</v>
      </c>
      <c r="D178" s="33">
        <v>0.0</v>
      </c>
      <c r="E178" s="33">
        <v>10.4</v>
      </c>
      <c r="F178" s="33">
        <v>19.3</v>
      </c>
      <c r="G178" s="33">
        <v>21.0</v>
      </c>
      <c r="H178" s="21">
        <v>20.0</v>
      </c>
      <c r="I178" s="33">
        <v>30.5</v>
      </c>
      <c r="J178" s="33">
        <v>20.8</v>
      </c>
      <c r="K178" s="45">
        <v>29.0</v>
      </c>
      <c r="L178" s="60">
        <v>70.0</v>
      </c>
      <c r="N178" s="29">
        <f t="shared" si="1"/>
        <v>277.1</v>
      </c>
    </row>
    <row r="179" ht="15.75" customHeight="1">
      <c r="A179" s="31" t="s">
        <v>27</v>
      </c>
      <c r="B179" s="33">
        <v>8.0</v>
      </c>
      <c r="C179" s="33">
        <v>21.2</v>
      </c>
      <c r="D179" s="33">
        <v>0.0</v>
      </c>
      <c r="E179" s="33">
        <v>0.0</v>
      </c>
      <c r="F179" s="33">
        <v>0.0</v>
      </c>
      <c r="G179" s="33">
        <v>25.0</v>
      </c>
      <c r="H179" s="33">
        <v>10.0</v>
      </c>
      <c r="I179" s="33">
        <v>0.0</v>
      </c>
      <c r="J179" s="33">
        <v>0.0</v>
      </c>
      <c r="K179" s="45">
        <v>1.0</v>
      </c>
      <c r="L179" s="60">
        <v>1.0</v>
      </c>
      <c r="N179" s="29">
        <f t="shared" si="1"/>
        <v>66.2</v>
      </c>
    </row>
    <row r="180" ht="15.75" customHeight="1">
      <c r="A180" s="34" t="s">
        <v>28</v>
      </c>
      <c r="B180" s="46">
        <f t="shared" ref="B180:L180" si="36">SUM(B178:B179)</f>
        <v>28</v>
      </c>
      <c r="C180" s="46">
        <f t="shared" si="36"/>
        <v>57.3</v>
      </c>
      <c r="D180" s="46">
        <f t="shared" si="36"/>
        <v>0</v>
      </c>
      <c r="E180" s="46">
        <f t="shared" si="36"/>
        <v>10.4</v>
      </c>
      <c r="F180" s="46">
        <f t="shared" si="36"/>
        <v>19.3</v>
      </c>
      <c r="G180" s="18">
        <f t="shared" si="36"/>
        <v>46</v>
      </c>
      <c r="H180" s="18">
        <f t="shared" si="36"/>
        <v>30</v>
      </c>
      <c r="I180" s="46">
        <f t="shared" si="36"/>
        <v>30.5</v>
      </c>
      <c r="J180" s="46">
        <f t="shared" si="36"/>
        <v>20.8</v>
      </c>
      <c r="K180" s="47">
        <f t="shared" si="36"/>
        <v>30</v>
      </c>
      <c r="L180" s="47">
        <f t="shared" si="36"/>
        <v>71</v>
      </c>
      <c r="M180" s="20"/>
      <c r="N180" s="49">
        <f t="shared" si="1"/>
        <v>343.3</v>
      </c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12"/>
      <c r="B181" s="12"/>
      <c r="C181" s="12"/>
      <c r="D181" s="12"/>
      <c r="E181" s="12"/>
      <c r="F181" s="12"/>
      <c r="I181" s="12"/>
      <c r="J181" s="12"/>
      <c r="K181" s="12"/>
      <c r="L181" s="12"/>
    </row>
    <row r="182" ht="15.75" customHeight="1">
      <c r="A182" s="12"/>
      <c r="B182" s="12"/>
      <c r="C182" s="12"/>
      <c r="D182" s="12"/>
      <c r="E182" s="12"/>
      <c r="F182" s="12"/>
      <c r="G182" s="29"/>
      <c r="H182" s="29"/>
      <c r="I182" s="12"/>
      <c r="J182" s="12"/>
      <c r="K182" s="12"/>
      <c r="L182" s="12"/>
    </row>
    <row r="183" ht="15.75" customHeight="1">
      <c r="A183" s="12"/>
      <c r="B183" s="12"/>
      <c r="C183" s="12"/>
      <c r="D183" s="12"/>
      <c r="E183" s="12"/>
      <c r="F183" s="12"/>
      <c r="G183" s="61"/>
      <c r="H183" s="61"/>
      <c r="I183" s="12"/>
      <c r="J183" s="12"/>
      <c r="K183" s="12"/>
      <c r="L183" s="12"/>
      <c r="M183" s="38" t="s">
        <v>32</v>
      </c>
      <c r="N183" s="38">
        <f t="shared" ref="N183:N184" si="37">sum(N4+N10+N16+N22+N28+N34+N40+N46+N52+N58+N64+N70+N76+N82+N88+N94+N100+N106+N112+N118+N124+N130+N136+N142+N148+N154+N160+N166+N172+N178)</f>
        <v>9502.1</v>
      </c>
    </row>
    <row r="184" ht="15.75" customHeight="1">
      <c r="A184" s="12"/>
      <c r="B184" s="12"/>
      <c r="C184" s="12"/>
      <c r="D184" s="12"/>
      <c r="E184" s="12"/>
      <c r="F184" s="12"/>
      <c r="G184" s="52"/>
      <c r="H184" s="52"/>
      <c r="I184" s="12"/>
      <c r="J184" s="12"/>
      <c r="K184" s="12"/>
      <c r="L184" s="12"/>
      <c r="M184" s="39" t="s">
        <v>33</v>
      </c>
      <c r="N184" s="40">
        <f t="shared" si="37"/>
        <v>3794.58</v>
      </c>
    </row>
    <row r="185" ht="15.75" customHeight="1">
      <c r="A185" s="12"/>
      <c r="B185" s="12"/>
      <c r="C185" s="12"/>
      <c r="D185" s="12"/>
      <c r="E185" s="12"/>
      <c r="F185" s="12"/>
      <c r="G185" s="27"/>
      <c r="H185" s="27"/>
      <c r="I185" s="12"/>
      <c r="J185" s="12"/>
      <c r="K185" s="12"/>
      <c r="L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</row>
  </sheetData>
  <printOptions/>
  <pageMargins bottom="0.75" footer="0.0" header="0.0" left="0.7" right="0.7" top="0.75"/>
  <pageSetup paperSize="9" scale="72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sheetData>
    <row r="2">
      <c r="A2" s="11">
        <v>45779.0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>
      <c r="A3" s="13" t="s">
        <v>14</v>
      </c>
      <c r="B3" s="13" t="s">
        <v>15</v>
      </c>
      <c r="C3" s="13" t="s">
        <v>16</v>
      </c>
      <c r="D3" s="13" t="s">
        <v>17</v>
      </c>
      <c r="E3" s="13" t="s">
        <v>18</v>
      </c>
      <c r="F3" s="13" t="s">
        <v>19</v>
      </c>
      <c r="G3" s="13" t="s">
        <v>20</v>
      </c>
      <c r="H3" s="13" t="s">
        <v>21</v>
      </c>
      <c r="I3" s="13" t="s">
        <v>22</v>
      </c>
      <c r="J3" s="13" t="s">
        <v>23</v>
      </c>
      <c r="K3" s="43" t="s">
        <v>24</v>
      </c>
      <c r="L3" s="44" t="s">
        <v>25</v>
      </c>
    </row>
    <row r="4">
      <c r="A4" s="15" t="s">
        <v>26</v>
      </c>
      <c r="B4" s="16">
        <v>41.0</v>
      </c>
      <c r="C4" s="16">
        <v>9.0</v>
      </c>
      <c r="D4" s="16">
        <v>0.0</v>
      </c>
      <c r="E4" s="16">
        <v>20.0</v>
      </c>
      <c r="F4" s="16">
        <v>20.0</v>
      </c>
      <c r="G4" s="16">
        <v>17.0</v>
      </c>
      <c r="H4" s="16">
        <v>17.0</v>
      </c>
      <c r="I4" s="16">
        <v>11.0</v>
      </c>
      <c r="J4" s="16">
        <v>10.0</v>
      </c>
      <c r="K4" s="45">
        <v>7.0</v>
      </c>
      <c r="L4" s="45">
        <v>89.0</v>
      </c>
      <c r="N4" s="17">
        <f t="shared" ref="N4:N180" si="1">SUM(B4:L4)</f>
        <v>241</v>
      </c>
    </row>
    <row r="5">
      <c r="A5" s="15" t="s">
        <v>27</v>
      </c>
      <c r="B5" s="16">
        <v>13.0</v>
      </c>
      <c r="C5" s="16">
        <v>13.0</v>
      </c>
      <c r="D5" s="16">
        <v>0.0</v>
      </c>
      <c r="E5" s="16">
        <v>0.0</v>
      </c>
      <c r="F5" s="16">
        <v>0.0</v>
      </c>
      <c r="G5" s="16">
        <v>0.0</v>
      </c>
      <c r="H5" s="16">
        <v>0.0</v>
      </c>
      <c r="I5" s="16">
        <v>0.0</v>
      </c>
      <c r="J5" s="16">
        <v>0.0</v>
      </c>
      <c r="K5" s="45">
        <v>2.0</v>
      </c>
      <c r="L5" s="45">
        <v>2.0</v>
      </c>
      <c r="N5" s="17">
        <f t="shared" si="1"/>
        <v>30</v>
      </c>
    </row>
    <row r="6">
      <c r="A6" s="18" t="s">
        <v>28</v>
      </c>
      <c r="B6" s="18">
        <f t="shared" ref="B6:L6" si="2">SUM(B4:B5)</f>
        <v>54</v>
      </c>
      <c r="C6" s="18">
        <f t="shared" si="2"/>
        <v>22</v>
      </c>
      <c r="D6" s="18">
        <f t="shared" si="2"/>
        <v>0</v>
      </c>
      <c r="E6" s="18">
        <f t="shared" si="2"/>
        <v>20</v>
      </c>
      <c r="F6" s="18">
        <f t="shared" si="2"/>
        <v>20</v>
      </c>
      <c r="G6" s="18">
        <f t="shared" si="2"/>
        <v>17</v>
      </c>
      <c r="H6" s="18">
        <f t="shared" si="2"/>
        <v>17</v>
      </c>
      <c r="I6" s="18">
        <f t="shared" si="2"/>
        <v>11</v>
      </c>
      <c r="J6" s="18">
        <f t="shared" si="2"/>
        <v>10</v>
      </c>
      <c r="K6" s="47">
        <f t="shared" si="2"/>
        <v>9</v>
      </c>
      <c r="L6" s="47">
        <f t="shared" si="2"/>
        <v>91</v>
      </c>
      <c r="M6" s="20"/>
      <c r="N6" s="20">
        <f t="shared" si="1"/>
        <v>271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K7" s="50"/>
      <c r="L7" s="50"/>
      <c r="N7" s="17">
        <f t="shared" si="1"/>
        <v>0</v>
      </c>
    </row>
    <row r="8">
      <c r="A8" s="11">
        <v>45780.0</v>
      </c>
      <c r="B8" s="12"/>
      <c r="C8" s="12"/>
      <c r="D8" s="12"/>
      <c r="E8" s="12"/>
      <c r="F8" s="12"/>
      <c r="G8" s="12"/>
      <c r="H8" s="12"/>
      <c r="I8" s="12"/>
      <c r="J8" s="12"/>
      <c r="K8" s="50"/>
      <c r="L8" s="50"/>
      <c r="N8" s="17">
        <f t="shared" si="1"/>
        <v>0</v>
      </c>
    </row>
    <row r="9">
      <c r="A9" s="13" t="s">
        <v>14</v>
      </c>
      <c r="B9" s="13" t="s">
        <v>15</v>
      </c>
      <c r="C9" s="13" t="s">
        <v>16</v>
      </c>
      <c r="D9" s="13" t="s">
        <v>17</v>
      </c>
      <c r="E9" s="13" t="s">
        <v>18</v>
      </c>
      <c r="F9" s="13" t="s">
        <v>19</v>
      </c>
      <c r="G9" s="13" t="s">
        <v>20</v>
      </c>
      <c r="H9" s="13" t="s">
        <v>21</v>
      </c>
      <c r="I9" s="13" t="s">
        <v>22</v>
      </c>
      <c r="J9" s="13" t="s">
        <v>23</v>
      </c>
      <c r="K9" s="43" t="s">
        <v>24</v>
      </c>
      <c r="L9" s="44" t="s">
        <v>25</v>
      </c>
      <c r="N9" s="17">
        <f t="shared" si="1"/>
        <v>0</v>
      </c>
    </row>
    <row r="10">
      <c r="A10" s="15" t="s">
        <v>26</v>
      </c>
      <c r="B10" s="16">
        <v>38.0</v>
      </c>
      <c r="C10" s="33">
        <v>31.4</v>
      </c>
      <c r="D10" s="33">
        <v>20.5</v>
      </c>
      <c r="E10" s="32">
        <v>15.2</v>
      </c>
      <c r="F10" s="32">
        <v>14.4</v>
      </c>
      <c r="G10" s="16">
        <v>8.0</v>
      </c>
      <c r="H10" s="16">
        <v>16.0</v>
      </c>
      <c r="I10" s="32">
        <v>12.4</v>
      </c>
      <c r="J10" s="32">
        <v>34.4</v>
      </c>
      <c r="K10" s="45">
        <v>25.0</v>
      </c>
      <c r="L10" s="45">
        <v>90.0</v>
      </c>
      <c r="N10" s="17">
        <f t="shared" si="1"/>
        <v>305.3</v>
      </c>
    </row>
    <row r="11">
      <c r="A11" s="15" t="s">
        <v>27</v>
      </c>
      <c r="B11" s="16">
        <v>11.0</v>
      </c>
      <c r="C11" s="33">
        <v>15.0</v>
      </c>
      <c r="D11" s="33">
        <v>10.0</v>
      </c>
      <c r="E11" s="33">
        <v>0.0</v>
      </c>
      <c r="F11" s="33">
        <v>0.0</v>
      </c>
      <c r="G11" s="16">
        <v>21.0</v>
      </c>
      <c r="H11" s="16">
        <v>6.0</v>
      </c>
      <c r="I11" s="33">
        <v>0.0</v>
      </c>
      <c r="J11" s="33">
        <v>0.0</v>
      </c>
      <c r="K11" s="45">
        <v>2.0</v>
      </c>
      <c r="L11" s="45">
        <v>0.0</v>
      </c>
      <c r="N11" s="17">
        <f t="shared" si="1"/>
        <v>65</v>
      </c>
    </row>
    <row r="12">
      <c r="A12" s="18" t="s">
        <v>28</v>
      </c>
      <c r="B12" s="18">
        <f t="shared" ref="B12:L12" si="3">SUM(B10:B11)</f>
        <v>49</v>
      </c>
      <c r="C12" s="18">
        <f t="shared" si="3"/>
        <v>46.4</v>
      </c>
      <c r="D12" s="18">
        <f t="shared" si="3"/>
        <v>30.5</v>
      </c>
      <c r="E12" s="18">
        <f t="shared" si="3"/>
        <v>15.2</v>
      </c>
      <c r="F12" s="18">
        <f t="shared" si="3"/>
        <v>14.4</v>
      </c>
      <c r="G12" s="18">
        <f t="shared" si="3"/>
        <v>29</v>
      </c>
      <c r="H12" s="18">
        <f t="shared" si="3"/>
        <v>22</v>
      </c>
      <c r="I12" s="18">
        <f t="shared" si="3"/>
        <v>12.4</v>
      </c>
      <c r="J12" s="18">
        <f t="shared" si="3"/>
        <v>34.4</v>
      </c>
      <c r="K12" s="47">
        <f t="shared" si="3"/>
        <v>27</v>
      </c>
      <c r="L12" s="47">
        <f t="shared" si="3"/>
        <v>90</v>
      </c>
      <c r="M12" s="20"/>
      <c r="N12" s="20">
        <f t="shared" si="1"/>
        <v>370.3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K13" s="50"/>
      <c r="L13" s="50"/>
      <c r="N13" s="17">
        <f t="shared" si="1"/>
        <v>0</v>
      </c>
    </row>
    <row r="14">
      <c r="A14" s="11">
        <v>45781.0</v>
      </c>
      <c r="B14" s="12"/>
      <c r="C14" s="12"/>
      <c r="D14" s="12"/>
      <c r="E14" s="12"/>
      <c r="F14" s="12"/>
      <c r="G14" s="12"/>
      <c r="H14" s="12"/>
      <c r="I14" s="12"/>
      <c r="J14" s="12"/>
      <c r="K14" s="50"/>
      <c r="L14" s="50"/>
      <c r="N14" s="17">
        <f t="shared" si="1"/>
        <v>0</v>
      </c>
    </row>
    <row r="15">
      <c r="A15" s="13" t="s">
        <v>14</v>
      </c>
      <c r="B15" s="13" t="s">
        <v>15</v>
      </c>
      <c r="C15" s="13" t="s">
        <v>16</v>
      </c>
      <c r="D15" s="13" t="s">
        <v>17</v>
      </c>
      <c r="E15" s="13" t="s">
        <v>18</v>
      </c>
      <c r="F15" s="13" t="s">
        <v>19</v>
      </c>
      <c r="G15" s="13" t="s">
        <v>20</v>
      </c>
      <c r="H15" s="13" t="s">
        <v>21</v>
      </c>
      <c r="I15" s="13" t="s">
        <v>22</v>
      </c>
      <c r="J15" s="13" t="s">
        <v>23</v>
      </c>
      <c r="K15" s="43" t="s">
        <v>24</v>
      </c>
      <c r="L15" s="44" t="s">
        <v>25</v>
      </c>
      <c r="N15" s="17">
        <f t="shared" si="1"/>
        <v>0</v>
      </c>
    </row>
    <row r="16">
      <c r="A16" s="15" t="s">
        <v>26</v>
      </c>
      <c r="B16" s="16">
        <v>14.0</v>
      </c>
      <c r="C16" s="32">
        <v>15.2</v>
      </c>
      <c r="D16" s="33">
        <v>0.0</v>
      </c>
      <c r="E16" s="32">
        <v>20.0</v>
      </c>
      <c r="F16" s="32">
        <v>13.4</v>
      </c>
      <c r="G16" s="16">
        <v>6.0</v>
      </c>
      <c r="H16" s="16">
        <v>14.0</v>
      </c>
      <c r="I16" s="32">
        <v>27.6</v>
      </c>
      <c r="J16" s="32">
        <v>24.3</v>
      </c>
      <c r="K16" s="45">
        <v>8.0</v>
      </c>
      <c r="L16" s="45">
        <v>80.0</v>
      </c>
      <c r="N16" s="17">
        <f t="shared" si="1"/>
        <v>222.5</v>
      </c>
    </row>
    <row r="17">
      <c r="A17" s="15" t="s">
        <v>27</v>
      </c>
      <c r="B17" s="16">
        <v>7.0</v>
      </c>
      <c r="C17" s="32">
        <v>10.1</v>
      </c>
      <c r="D17" s="52">
        <v>0.0</v>
      </c>
      <c r="E17" s="33">
        <v>0.0</v>
      </c>
      <c r="F17" s="33">
        <v>0.0</v>
      </c>
      <c r="G17" s="16">
        <v>21.0</v>
      </c>
      <c r="H17" s="16">
        <v>8.0</v>
      </c>
      <c r="I17" s="33">
        <v>0.0</v>
      </c>
      <c r="J17" s="33">
        <v>0.0</v>
      </c>
      <c r="K17" s="45">
        <v>0.0</v>
      </c>
      <c r="L17" s="45">
        <v>2.0</v>
      </c>
      <c r="N17" s="17">
        <f t="shared" si="1"/>
        <v>48.1</v>
      </c>
    </row>
    <row r="18">
      <c r="A18" s="18" t="s">
        <v>28</v>
      </c>
      <c r="B18" s="18">
        <f t="shared" ref="B18:L18" si="4">SUM(B16:B17)</f>
        <v>21</v>
      </c>
      <c r="C18" s="18">
        <f t="shared" si="4"/>
        <v>25.3</v>
      </c>
      <c r="D18" s="18">
        <f t="shared" si="4"/>
        <v>0</v>
      </c>
      <c r="E18" s="18">
        <f t="shared" si="4"/>
        <v>20</v>
      </c>
      <c r="F18" s="18">
        <f t="shared" si="4"/>
        <v>13.4</v>
      </c>
      <c r="G18" s="18">
        <f t="shared" si="4"/>
        <v>27</v>
      </c>
      <c r="H18" s="18">
        <f t="shared" si="4"/>
        <v>22</v>
      </c>
      <c r="I18" s="18">
        <f t="shared" si="4"/>
        <v>27.6</v>
      </c>
      <c r="J18" s="18">
        <f t="shared" si="4"/>
        <v>24.3</v>
      </c>
      <c r="K18" s="47">
        <f t="shared" si="4"/>
        <v>8</v>
      </c>
      <c r="L18" s="47">
        <f t="shared" si="4"/>
        <v>82</v>
      </c>
      <c r="M18" s="20"/>
      <c r="N18" s="20">
        <f t="shared" si="1"/>
        <v>270.6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K19" s="50"/>
      <c r="L19" s="50"/>
      <c r="N19" s="17">
        <f t="shared" si="1"/>
        <v>0</v>
      </c>
    </row>
    <row r="20">
      <c r="A20" s="11">
        <v>45782.0</v>
      </c>
      <c r="B20" s="12"/>
      <c r="C20" s="12"/>
      <c r="D20" s="12"/>
      <c r="E20" s="12"/>
      <c r="F20" s="12"/>
      <c r="G20" s="12"/>
      <c r="H20" s="12"/>
      <c r="I20" s="12"/>
      <c r="J20" s="12"/>
      <c r="K20" s="50"/>
      <c r="L20" s="50"/>
      <c r="N20" s="17">
        <f t="shared" si="1"/>
        <v>0</v>
      </c>
    </row>
    <row r="21">
      <c r="A21" s="13" t="s">
        <v>14</v>
      </c>
      <c r="B21" s="13" t="s">
        <v>15</v>
      </c>
      <c r="C21" s="13" t="s">
        <v>16</v>
      </c>
      <c r="D21" s="13" t="s">
        <v>17</v>
      </c>
      <c r="E21" s="13" t="s">
        <v>18</v>
      </c>
      <c r="F21" s="13" t="s">
        <v>19</v>
      </c>
      <c r="G21" s="13" t="s">
        <v>20</v>
      </c>
      <c r="H21" s="13" t="s">
        <v>21</v>
      </c>
      <c r="I21" s="13" t="s">
        <v>22</v>
      </c>
      <c r="J21" s="13" t="s">
        <v>23</v>
      </c>
      <c r="K21" s="43" t="s">
        <v>24</v>
      </c>
      <c r="L21" s="44" t="s">
        <v>25</v>
      </c>
      <c r="N21" s="17">
        <f t="shared" si="1"/>
        <v>0</v>
      </c>
    </row>
    <row r="22">
      <c r="A22" s="15" t="s">
        <v>26</v>
      </c>
      <c r="B22" s="16">
        <v>27.0</v>
      </c>
      <c r="C22" s="16">
        <v>15.0</v>
      </c>
      <c r="D22" s="16">
        <v>9.0</v>
      </c>
      <c r="E22" s="16">
        <v>10.0</v>
      </c>
      <c r="F22" s="16">
        <v>10.0</v>
      </c>
      <c r="G22" s="16">
        <v>10.0</v>
      </c>
      <c r="H22" s="16">
        <v>25.0</v>
      </c>
      <c r="I22" s="16">
        <v>8.0</v>
      </c>
      <c r="J22" s="16">
        <v>12.0</v>
      </c>
      <c r="K22" s="45">
        <v>8.0</v>
      </c>
      <c r="L22" s="45">
        <v>28.0</v>
      </c>
      <c r="N22" s="17">
        <f t="shared" si="1"/>
        <v>162</v>
      </c>
    </row>
    <row r="23">
      <c r="A23" s="15" t="s">
        <v>27</v>
      </c>
      <c r="B23" s="16">
        <v>13.0</v>
      </c>
      <c r="C23" s="16">
        <v>12.0</v>
      </c>
      <c r="D23" s="16">
        <v>15.0</v>
      </c>
      <c r="E23" s="16">
        <v>20.0</v>
      </c>
      <c r="F23" s="16">
        <v>20.0</v>
      </c>
      <c r="G23" s="16">
        <v>13.0</v>
      </c>
      <c r="H23" s="16">
        <v>13.0</v>
      </c>
      <c r="I23" s="16">
        <v>20.0</v>
      </c>
      <c r="J23" s="16">
        <v>23.0</v>
      </c>
      <c r="K23" s="45">
        <v>2.0</v>
      </c>
      <c r="L23" s="45">
        <v>2.0</v>
      </c>
      <c r="N23" s="17">
        <f t="shared" si="1"/>
        <v>153</v>
      </c>
    </row>
    <row r="24">
      <c r="A24" s="18" t="s">
        <v>28</v>
      </c>
      <c r="B24" s="18">
        <f t="shared" ref="B24:L24" si="5">SUM(B22:B23)</f>
        <v>40</v>
      </c>
      <c r="C24" s="18">
        <f t="shared" si="5"/>
        <v>27</v>
      </c>
      <c r="D24" s="18">
        <f t="shared" si="5"/>
        <v>24</v>
      </c>
      <c r="E24" s="18">
        <f t="shared" si="5"/>
        <v>30</v>
      </c>
      <c r="F24" s="18">
        <f t="shared" si="5"/>
        <v>30</v>
      </c>
      <c r="G24" s="18">
        <f t="shared" si="5"/>
        <v>23</v>
      </c>
      <c r="H24" s="18">
        <f t="shared" si="5"/>
        <v>38</v>
      </c>
      <c r="I24" s="18">
        <f t="shared" si="5"/>
        <v>28</v>
      </c>
      <c r="J24" s="18">
        <f t="shared" si="5"/>
        <v>35</v>
      </c>
      <c r="K24" s="47">
        <f t="shared" si="5"/>
        <v>10</v>
      </c>
      <c r="L24" s="47">
        <f t="shared" si="5"/>
        <v>30</v>
      </c>
      <c r="M24" s="20"/>
      <c r="N24" s="20">
        <f t="shared" si="1"/>
        <v>315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K25" s="50"/>
      <c r="L25" s="50"/>
      <c r="N25" s="17">
        <f t="shared" si="1"/>
        <v>0</v>
      </c>
    </row>
    <row r="26">
      <c r="A26" s="11">
        <v>45783.0</v>
      </c>
      <c r="B26" s="12"/>
      <c r="C26" s="12"/>
      <c r="D26" s="12"/>
      <c r="E26" s="12"/>
      <c r="F26" s="12"/>
      <c r="G26" s="12"/>
      <c r="H26" s="12"/>
      <c r="I26" s="12"/>
      <c r="J26" s="12"/>
      <c r="K26" s="50"/>
      <c r="L26" s="50"/>
      <c r="N26" s="17">
        <f t="shared" si="1"/>
        <v>0</v>
      </c>
    </row>
    <row r="27">
      <c r="A27" s="13" t="s">
        <v>14</v>
      </c>
      <c r="B27" s="13" t="s">
        <v>15</v>
      </c>
      <c r="C27" s="13" t="s">
        <v>16</v>
      </c>
      <c r="D27" s="13" t="s">
        <v>17</v>
      </c>
      <c r="E27" s="30" t="s">
        <v>31</v>
      </c>
      <c r="F27" s="30" t="s">
        <v>19</v>
      </c>
      <c r="G27" s="30" t="s">
        <v>21</v>
      </c>
      <c r="H27" s="30" t="s">
        <v>22</v>
      </c>
      <c r="I27" s="30" t="s">
        <v>22</v>
      </c>
      <c r="J27" s="30" t="s">
        <v>23</v>
      </c>
      <c r="K27" s="43" t="s">
        <v>24</v>
      </c>
      <c r="L27" s="44" t="s">
        <v>25</v>
      </c>
      <c r="N27" s="17">
        <f t="shared" si="1"/>
        <v>0</v>
      </c>
    </row>
    <row r="28">
      <c r="A28" s="15" t="s">
        <v>26</v>
      </c>
      <c r="B28" s="16">
        <v>38.0</v>
      </c>
      <c r="C28" s="16">
        <v>10.0</v>
      </c>
      <c r="D28" s="16">
        <v>0.0</v>
      </c>
      <c r="E28" s="33">
        <v>20.4</v>
      </c>
      <c r="F28" s="33">
        <v>18.8</v>
      </c>
      <c r="G28" s="21">
        <v>20.0</v>
      </c>
      <c r="H28" s="33">
        <v>12.5</v>
      </c>
      <c r="I28" s="33">
        <v>13.3</v>
      </c>
      <c r="J28" s="33">
        <v>29.9</v>
      </c>
      <c r="K28" s="45">
        <v>8.0</v>
      </c>
      <c r="L28" s="45">
        <v>20.0</v>
      </c>
      <c r="N28" s="17">
        <f t="shared" si="1"/>
        <v>190.9</v>
      </c>
    </row>
    <row r="29">
      <c r="A29" s="15" t="s">
        <v>27</v>
      </c>
      <c r="B29" s="16">
        <v>17.0</v>
      </c>
      <c r="C29" s="16">
        <v>8.0</v>
      </c>
      <c r="D29" s="16">
        <v>0.0</v>
      </c>
      <c r="E29" s="33">
        <v>26.0</v>
      </c>
      <c r="F29" s="33">
        <v>11.0</v>
      </c>
      <c r="G29" s="33">
        <v>10.0</v>
      </c>
      <c r="H29" s="33">
        <v>0.0</v>
      </c>
      <c r="I29" s="33">
        <v>80.0</v>
      </c>
      <c r="J29" s="33">
        <v>9.0</v>
      </c>
      <c r="K29" s="45">
        <v>0.0</v>
      </c>
      <c r="L29" s="45">
        <v>1.0</v>
      </c>
      <c r="N29" s="17">
        <f t="shared" si="1"/>
        <v>162</v>
      </c>
    </row>
    <row r="30">
      <c r="A30" s="18" t="s">
        <v>28</v>
      </c>
      <c r="B30" s="18">
        <f t="shared" ref="B30:L30" si="6">SUM(B28:B29)</f>
        <v>55</v>
      </c>
      <c r="C30" s="18">
        <f t="shared" si="6"/>
        <v>18</v>
      </c>
      <c r="D30" s="18">
        <f t="shared" si="6"/>
        <v>0</v>
      </c>
      <c r="E30" s="46">
        <f t="shared" si="6"/>
        <v>46.4</v>
      </c>
      <c r="F30" s="46">
        <f t="shared" si="6"/>
        <v>29.8</v>
      </c>
      <c r="G30" s="18">
        <f t="shared" si="6"/>
        <v>30</v>
      </c>
      <c r="H30" s="18">
        <f t="shared" si="6"/>
        <v>12.5</v>
      </c>
      <c r="I30" s="46">
        <f t="shared" si="6"/>
        <v>93.3</v>
      </c>
      <c r="J30" s="46">
        <f t="shared" si="6"/>
        <v>38.9</v>
      </c>
      <c r="K30" s="47">
        <f t="shared" si="6"/>
        <v>8</v>
      </c>
      <c r="L30" s="47">
        <f t="shared" si="6"/>
        <v>21</v>
      </c>
      <c r="M30" s="20"/>
      <c r="N30" s="20">
        <f t="shared" si="1"/>
        <v>352.9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K31" s="54"/>
      <c r="L31" s="54"/>
      <c r="N31" s="17">
        <f t="shared" si="1"/>
        <v>0</v>
      </c>
    </row>
    <row r="32">
      <c r="A32" s="11">
        <v>45784.0</v>
      </c>
      <c r="B32" s="12"/>
      <c r="C32" s="12"/>
      <c r="D32" s="12"/>
      <c r="E32" s="29"/>
      <c r="F32" s="29"/>
      <c r="G32" s="29"/>
      <c r="H32" s="29"/>
      <c r="I32" s="29"/>
      <c r="J32" s="29"/>
      <c r="K32" s="50"/>
      <c r="L32" s="50"/>
      <c r="N32" s="17">
        <f t="shared" si="1"/>
        <v>0</v>
      </c>
    </row>
    <row r="33">
      <c r="A33" s="13" t="s">
        <v>14</v>
      </c>
      <c r="B33" s="13" t="s">
        <v>15</v>
      </c>
      <c r="C33" s="13" t="s">
        <v>16</v>
      </c>
      <c r="D33" s="13" t="s">
        <v>17</v>
      </c>
      <c r="E33" s="30" t="s">
        <v>31</v>
      </c>
      <c r="F33" s="30" t="s">
        <v>19</v>
      </c>
      <c r="G33" s="30" t="s">
        <v>20</v>
      </c>
      <c r="H33" s="30" t="s">
        <v>21</v>
      </c>
      <c r="I33" s="30" t="s">
        <v>22</v>
      </c>
      <c r="J33" s="30" t="s">
        <v>23</v>
      </c>
      <c r="K33" s="44" t="s">
        <v>24</v>
      </c>
      <c r="L33" s="44" t="s">
        <v>25</v>
      </c>
      <c r="N33" s="17">
        <f t="shared" si="1"/>
        <v>0</v>
      </c>
    </row>
    <row r="34">
      <c r="A34" s="15" t="s">
        <v>26</v>
      </c>
      <c r="B34" s="16">
        <v>52.0</v>
      </c>
      <c r="C34" s="16">
        <v>11.0</v>
      </c>
      <c r="D34" s="16">
        <v>26.0</v>
      </c>
      <c r="E34" s="33">
        <v>18.2</v>
      </c>
      <c r="F34" s="33">
        <v>16.6</v>
      </c>
      <c r="G34" s="33">
        <v>8.0</v>
      </c>
      <c r="H34" s="33">
        <v>15.0</v>
      </c>
      <c r="I34" s="33">
        <v>22.5</v>
      </c>
      <c r="J34" s="33">
        <v>34.2</v>
      </c>
      <c r="K34" s="45">
        <v>25.0</v>
      </c>
      <c r="L34" s="55">
        <v>80.0</v>
      </c>
      <c r="N34" s="17">
        <f t="shared" si="1"/>
        <v>308.5</v>
      </c>
    </row>
    <row r="35">
      <c r="A35" s="15" t="s">
        <v>27</v>
      </c>
      <c r="B35" s="16">
        <v>38.0</v>
      </c>
      <c r="C35" s="16">
        <v>8.0</v>
      </c>
      <c r="D35" s="16">
        <v>10.0</v>
      </c>
      <c r="E35" s="33">
        <v>0.0</v>
      </c>
      <c r="F35" s="33">
        <v>0.0</v>
      </c>
      <c r="G35" s="33">
        <v>10.0</v>
      </c>
      <c r="H35" s="33">
        <v>8.0</v>
      </c>
      <c r="I35" s="33">
        <v>0.0</v>
      </c>
      <c r="J35" s="33">
        <v>0.0</v>
      </c>
      <c r="K35" s="45">
        <v>2.0</v>
      </c>
      <c r="L35" s="45">
        <v>0.0</v>
      </c>
      <c r="N35" s="17">
        <f t="shared" si="1"/>
        <v>76</v>
      </c>
    </row>
    <row r="36">
      <c r="A36" s="18" t="s">
        <v>28</v>
      </c>
      <c r="B36" s="18">
        <f t="shared" ref="B36:L36" si="7">SUM(B34:B35)</f>
        <v>90</v>
      </c>
      <c r="C36" s="18">
        <f t="shared" si="7"/>
        <v>19</v>
      </c>
      <c r="D36" s="18">
        <f t="shared" si="7"/>
        <v>36</v>
      </c>
      <c r="E36" s="46">
        <f t="shared" si="7"/>
        <v>18.2</v>
      </c>
      <c r="F36" s="46">
        <f t="shared" si="7"/>
        <v>16.6</v>
      </c>
      <c r="G36" s="18">
        <f t="shared" si="7"/>
        <v>18</v>
      </c>
      <c r="H36" s="18">
        <f t="shared" si="7"/>
        <v>23</v>
      </c>
      <c r="I36" s="46">
        <f t="shared" si="7"/>
        <v>22.5</v>
      </c>
      <c r="J36" s="46">
        <f t="shared" si="7"/>
        <v>34.2</v>
      </c>
      <c r="K36" s="47">
        <f t="shared" si="7"/>
        <v>27</v>
      </c>
      <c r="L36" s="47">
        <f t="shared" si="7"/>
        <v>80</v>
      </c>
      <c r="M36" s="20"/>
      <c r="N36" s="20">
        <f t="shared" si="1"/>
        <v>384.5</v>
      </c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E37" s="12"/>
      <c r="F37" s="12"/>
      <c r="I37" s="12"/>
      <c r="J37" s="12"/>
      <c r="K37" s="50"/>
      <c r="L37" s="50"/>
      <c r="N37" s="17">
        <f t="shared" si="1"/>
        <v>0</v>
      </c>
    </row>
    <row r="38">
      <c r="A38" s="11">
        <v>45785.0</v>
      </c>
      <c r="B38" s="12"/>
      <c r="C38" s="12"/>
      <c r="D38" s="12"/>
      <c r="E38" s="29"/>
      <c r="F38" s="29"/>
      <c r="G38" s="29"/>
      <c r="H38" s="29"/>
      <c r="I38" s="29"/>
      <c r="J38" s="29"/>
      <c r="K38" s="50"/>
      <c r="L38" s="50"/>
      <c r="N38" s="17">
        <f t="shared" si="1"/>
        <v>0</v>
      </c>
    </row>
    <row r="39">
      <c r="A39" s="13" t="s">
        <v>14</v>
      </c>
      <c r="B39" s="13" t="s">
        <v>15</v>
      </c>
      <c r="C39" s="13" t="s">
        <v>16</v>
      </c>
      <c r="D39" s="13" t="s">
        <v>17</v>
      </c>
      <c r="E39" s="30" t="s">
        <v>31</v>
      </c>
      <c r="F39" s="30" t="s">
        <v>19</v>
      </c>
      <c r="G39" s="30" t="s">
        <v>20</v>
      </c>
      <c r="H39" s="30" t="s">
        <v>21</v>
      </c>
      <c r="I39" s="30" t="s">
        <v>22</v>
      </c>
      <c r="J39" s="30" t="s">
        <v>23</v>
      </c>
      <c r="K39" s="44" t="s">
        <v>24</v>
      </c>
      <c r="L39" s="44" t="s">
        <v>25</v>
      </c>
      <c r="N39" s="17">
        <f t="shared" si="1"/>
        <v>0</v>
      </c>
    </row>
    <row r="40">
      <c r="A40" s="15" t="s">
        <v>26</v>
      </c>
      <c r="B40" s="16">
        <v>42.0</v>
      </c>
      <c r="C40" s="16">
        <v>22.0</v>
      </c>
      <c r="D40" s="16">
        <v>0.0</v>
      </c>
      <c r="E40" s="32">
        <v>9.4</v>
      </c>
      <c r="F40" s="32">
        <v>18.3</v>
      </c>
      <c r="G40" s="21">
        <v>20.0</v>
      </c>
      <c r="H40" s="21">
        <v>25.0</v>
      </c>
      <c r="I40" s="32">
        <v>26.4</v>
      </c>
      <c r="J40" s="32">
        <v>18.8</v>
      </c>
      <c r="K40" s="45">
        <v>8.0</v>
      </c>
      <c r="L40" s="45">
        <v>70.0</v>
      </c>
      <c r="N40" s="17">
        <f t="shared" si="1"/>
        <v>259.9</v>
      </c>
    </row>
    <row r="41">
      <c r="A41" s="15" t="s">
        <v>27</v>
      </c>
      <c r="B41" s="16">
        <v>36.0</v>
      </c>
      <c r="C41" s="16">
        <v>7.0</v>
      </c>
      <c r="D41" s="16">
        <v>0.0</v>
      </c>
      <c r="E41" s="33">
        <v>26.0</v>
      </c>
      <c r="F41" s="33">
        <v>11.0</v>
      </c>
      <c r="G41" s="33">
        <v>25.0</v>
      </c>
      <c r="H41" s="33">
        <v>10.0</v>
      </c>
      <c r="I41" s="33">
        <v>29.0</v>
      </c>
      <c r="J41" s="33">
        <v>31.0</v>
      </c>
      <c r="K41" s="45">
        <v>0.0</v>
      </c>
      <c r="L41" s="45">
        <v>1.0</v>
      </c>
      <c r="N41" s="17">
        <f t="shared" si="1"/>
        <v>176</v>
      </c>
    </row>
    <row r="42">
      <c r="A42" s="18" t="s">
        <v>28</v>
      </c>
      <c r="B42" s="18">
        <f t="shared" ref="B42:L42" si="8">SUM(B40:B41)</f>
        <v>78</v>
      </c>
      <c r="C42" s="18">
        <f t="shared" si="8"/>
        <v>29</v>
      </c>
      <c r="D42" s="18">
        <f t="shared" si="8"/>
        <v>0</v>
      </c>
      <c r="E42" s="46">
        <f t="shared" si="8"/>
        <v>35.4</v>
      </c>
      <c r="F42" s="46">
        <f t="shared" si="8"/>
        <v>29.3</v>
      </c>
      <c r="G42" s="18">
        <f t="shared" si="8"/>
        <v>45</v>
      </c>
      <c r="H42" s="18">
        <f t="shared" si="8"/>
        <v>35</v>
      </c>
      <c r="I42" s="46">
        <f t="shared" si="8"/>
        <v>55.4</v>
      </c>
      <c r="J42" s="46">
        <f t="shared" si="8"/>
        <v>49.8</v>
      </c>
      <c r="K42" s="47">
        <f t="shared" si="8"/>
        <v>8</v>
      </c>
      <c r="L42" s="47">
        <f t="shared" si="8"/>
        <v>71</v>
      </c>
      <c r="M42" s="20"/>
      <c r="N42" s="20">
        <f t="shared" si="1"/>
        <v>435.9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K43" s="50"/>
      <c r="L43" s="50"/>
      <c r="N43" s="17">
        <f t="shared" si="1"/>
        <v>0</v>
      </c>
    </row>
    <row r="44">
      <c r="A44" s="11">
        <v>45786.0</v>
      </c>
      <c r="B44" s="12"/>
      <c r="C44" s="12"/>
      <c r="D44" s="12"/>
      <c r="E44" s="12"/>
      <c r="F44" s="12"/>
      <c r="G44" s="12"/>
      <c r="H44" s="12"/>
      <c r="I44" s="12"/>
      <c r="J44" s="12"/>
      <c r="K44" s="50"/>
      <c r="L44" s="50"/>
      <c r="N44" s="17">
        <f t="shared" si="1"/>
        <v>0</v>
      </c>
    </row>
    <row r="45">
      <c r="A45" s="13" t="s">
        <v>14</v>
      </c>
      <c r="B45" s="13" t="s">
        <v>15</v>
      </c>
      <c r="C45" s="13" t="s">
        <v>16</v>
      </c>
      <c r="D45" s="13" t="s">
        <v>17</v>
      </c>
      <c r="E45" s="13" t="s">
        <v>18</v>
      </c>
      <c r="F45" s="13" t="s">
        <v>19</v>
      </c>
      <c r="G45" s="13" t="s">
        <v>20</v>
      </c>
      <c r="H45" s="13" t="s">
        <v>21</v>
      </c>
      <c r="I45" s="13" t="s">
        <v>22</v>
      </c>
      <c r="J45" s="13" t="s">
        <v>23</v>
      </c>
      <c r="K45" s="44" t="s">
        <v>24</v>
      </c>
      <c r="L45" s="44" t="s">
        <v>25</v>
      </c>
      <c r="N45" s="17">
        <f t="shared" si="1"/>
        <v>0</v>
      </c>
    </row>
    <row r="46">
      <c r="A46" s="15" t="s">
        <v>26</v>
      </c>
      <c r="B46" s="16">
        <v>50.0</v>
      </c>
      <c r="C46" s="16">
        <v>13.0</v>
      </c>
      <c r="D46" s="16">
        <v>18.0</v>
      </c>
      <c r="E46" s="16">
        <v>10.0</v>
      </c>
      <c r="F46" s="16">
        <v>10.0</v>
      </c>
      <c r="G46" s="16">
        <v>9.0</v>
      </c>
      <c r="H46" s="16">
        <v>15.0</v>
      </c>
      <c r="I46" s="16">
        <v>10.0</v>
      </c>
      <c r="J46" s="16">
        <v>10.0</v>
      </c>
      <c r="K46" s="45">
        <v>24.0</v>
      </c>
      <c r="L46" s="45">
        <v>86.0</v>
      </c>
      <c r="N46" s="17">
        <f t="shared" si="1"/>
        <v>255</v>
      </c>
    </row>
    <row r="47">
      <c r="A47" s="15" t="s">
        <v>27</v>
      </c>
      <c r="B47" s="16">
        <v>28.0</v>
      </c>
      <c r="C47" s="16">
        <v>11.0</v>
      </c>
      <c r="D47" s="16">
        <v>9.0</v>
      </c>
      <c r="E47" s="16">
        <v>10.0</v>
      </c>
      <c r="F47" s="16">
        <v>15.0</v>
      </c>
      <c r="G47" s="16">
        <v>14.0</v>
      </c>
      <c r="H47" s="16">
        <v>8.0</v>
      </c>
      <c r="I47" s="16">
        <v>15.0</v>
      </c>
      <c r="J47" s="16">
        <v>15.0</v>
      </c>
      <c r="K47" s="45">
        <v>2.0</v>
      </c>
      <c r="L47" s="45">
        <v>0.0</v>
      </c>
      <c r="N47" s="17">
        <f t="shared" si="1"/>
        <v>127</v>
      </c>
    </row>
    <row r="48">
      <c r="A48" s="18" t="s">
        <v>28</v>
      </c>
      <c r="B48" s="18">
        <f t="shared" ref="B48:L48" si="9">SUM(B46:B47)</f>
        <v>78</v>
      </c>
      <c r="C48" s="18">
        <f t="shared" si="9"/>
        <v>24</v>
      </c>
      <c r="D48" s="18">
        <f t="shared" si="9"/>
        <v>27</v>
      </c>
      <c r="E48" s="18">
        <f t="shared" si="9"/>
        <v>20</v>
      </c>
      <c r="F48" s="18">
        <f t="shared" si="9"/>
        <v>25</v>
      </c>
      <c r="G48" s="18">
        <f t="shared" si="9"/>
        <v>23</v>
      </c>
      <c r="H48" s="18">
        <f t="shared" si="9"/>
        <v>23</v>
      </c>
      <c r="I48" s="18">
        <f t="shared" si="9"/>
        <v>25</v>
      </c>
      <c r="J48" s="18">
        <f t="shared" si="9"/>
        <v>25</v>
      </c>
      <c r="K48" s="47">
        <f t="shared" si="9"/>
        <v>26</v>
      </c>
      <c r="L48" s="47">
        <f t="shared" si="9"/>
        <v>86</v>
      </c>
      <c r="M48" s="20"/>
      <c r="N48" s="20">
        <f t="shared" si="1"/>
        <v>382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K49" s="50"/>
      <c r="L49" s="50"/>
      <c r="N49" s="17">
        <f t="shared" si="1"/>
        <v>0</v>
      </c>
    </row>
    <row r="50">
      <c r="A50" s="11">
        <v>45787.0</v>
      </c>
      <c r="B50" s="12"/>
      <c r="C50" s="12"/>
      <c r="D50" s="12"/>
      <c r="E50" s="12"/>
      <c r="F50" s="12"/>
      <c r="G50" s="12"/>
      <c r="H50" s="12"/>
      <c r="I50" s="12"/>
      <c r="J50" s="12"/>
      <c r="K50" s="50"/>
      <c r="L50" s="50"/>
      <c r="N50" s="17">
        <f t="shared" si="1"/>
        <v>0</v>
      </c>
    </row>
    <row r="51">
      <c r="A51" s="13" t="s">
        <v>14</v>
      </c>
      <c r="B51" s="13" t="s">
        <v>15</v>
      </c>
      <c r="C51" s="13" t="s">
        <v>16</v>
      </c>
      <c r="D51" s="13" t="s">
        <v>17</v>
      </c>
      <c r="E51" s="13" t="s">
        <v>18</v>
      </c>
      <c r="F51" s="13" t="s">
        <v>19</v>
      </c>
      <c r="G51" s="13" t="s">
        <v>20</v>
      </c>
      <c r="H51" s="13" t="s">
        <v>21</v>
      </c>
      <c r="I51" s="13" t="s">
        <v>22</v>
      </c>
      <c r="J51" s="13" t="s">
        <v>23</v>
      </c>
      <c r="K51" s="44" t="s">
        <v>24</v>
      </c>
      <c r="L51" s="44" t="s">
        <v>25</v>
      </c>
      <c r="N51" s="17">
        <f t="shared" si="1"/>
        <v>0</v>
      </c>
    </row>
    <row r="52">
      <c r="A52" s="15" t="s">
        <v>26</v>
      </c>
      <c r="B52" s="16">
        <v>36.0</v>
      </c>
      <c r="C52" s="16">
        <v>46.0</v>
      </c>
      <c r="D52" s="16">
        <v>0.0</v>
      </c>
      <c r="E52" s="33">
        <v>11.0</v>
      </c>
      <c r="F52" s="32">
        <v>18.3</v>
      </c>
      <c r="G52" s="16">
        <v>6.0</v>
      </c>
      <c r="H52" s="16">
        <v>14.0</v>
      </c>
      <c r="I52" s="32">
        <v>26.4</v>
      </c>
      <c r="J52" s="32">
        <v>18.8</v>
      </c>
      <c r="K52" s="45">
        <v>27.0</v>
      </c>
      <c r="L52" s="45">
        <v>80.0</v>
      </c>
      <c r="N52" s="17">
        <f t="shared" si="1"/>
        <v>283.5</v>
      </c>
    </row>
    <row r="53">
      <c r="A53" s="15" t="s">
        <v>27</v>
      </c>
      <c r="B53" s="16">
        <v>24.0</v>
      </c>
      <c r="C53" s="16">
        <v>28.0</v>
      </c>
      <c r="D53" s="16">
        <v>0.0</v>
      </c>
      <c r="E53" s="33">
        <v>26.0</v>
      </c>
      <c r="F53" s="33">
        <v>12.0</v>
      </c>
      <c r="G53" s="16">
        <v>21.0</v>
      </c>
      <c r="H53" s="16">
        <v>8.0</v>
      </c>
      <c r="I53" s="33">
        <v>29.0</v>
      </c>
      <c r="J53" s="33">
        <v>31.0</v>
      </c>
      <c r="K53" s="45">
        <v>2.0</v>
      </c>
      <c r="L53" s="45">
        <v>0.0</v>
      </c>
      <c r="N53" s="17">
        <f t="shared" si="1"/>
        <v>181</v>
      </c>
    </row>
    <row r="54">
      <c r="A54" s="18" t="s">
        <v>28</v>
      </c>
      <c r="B54" s="18">
        <f t="shared" ref="B54:L54" si="10">SUM(B52:B53)</f>
        <v>60</v>
      </c>
      <c r="C54" s="18">
        <f t="shared" si="10"/>
        <v>74</v>
      </c>
      <c r="D54" s="18">
        <f t="shared" si="10"/>
        <v>0</v>
      </c>
      <c r="E54" s="18">
        <f t="shared" si="10"/>
        <v>37</v>
      </c>
      <c r="F54" s="18">
        <f t="shared" si="10"/>
        <v>30.3</v>
      </c>
      <c r="G54" s="18">
        <f t="shared" si="10"/>
        <v>27</v>
      </c>
      <c r="H54" s="18">
        <f t="shared" si="10"/>
        <v>22</v>
      </c>
      <c r="I54" s="18">
        <f t="shared" si="10"/>
        <v>55.4</v>
      </c>
      <c r="J54" s="18">
        <f t="shared" si="10"/>
        <v>49.8</v>
      </c>
      <c r="K54" s="47">
        <f t="shared" si="10"/>
        <v>29</v>
      </c>
      <c r="L54" s="47">
        <f t="shared" si="10"/>
        <v>80</v>
      </c>
      <c r="M54" s="20"/>
      <c r="N54" s="20">
        <f t="shared" si="1"/>
        <v>464.5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K55" s="50"/>
      <c r="L55" s="50"/>
      <c r="N55" s="17">
        <f t="shared" si="1"/>
        <v>0</v>
      </c>
    </row>
    <row r="56">
      <c r="A56" s="11">
        <v>45788.0</v>
      </c>
      <c r="B56" s="12"/>
      <c r="C56" s="12"/>
      <c r="D56" s="12"/>
      <c r="E56" s="12"/>
      <c r="F56" s="12"/>
      <c r="G56" s="12"/>
      <c r="H56" s="12"/>
      <c r="I56" s="12"/>
      <c r="J56" s="12"/>
      <c r="K56" s="50"/>
      <c r="L56" s="50"/>
      <c r="N56" s="17">
        <f t="shared" si="1"/>
        <v>0</v>
      </c>
    </row>
    <row r="57">
      <c r="A57" s="13" t="s">
        <v>14</v>
      </c>
      <c r="B57" s="13" t="s">
        <v>15</v>
      </c>
      <c r="C57" s="13" t="s">
        <v>16</v>
      </c>
      <c r="D57" s="13" t="s">
        <v>17</v>
      </c>
      <c r="E57" s="13" t="s">
        <v>18</v>
      </c>
      <c r="F57" s="13" t="s">
        <v>19</v>
      </c>
      <c r="G57" s="13" t="s">
        <v>20</v>
      </c>
      <c r="H57" s="13" t="s">
        <v>21</v>
      </c>
      <c r="I57" s="13" t="s">
        <v>22</v>
      </c>
      <c r="J57" s="13" t="s">
        <v>23</v>
      </c>
      <c r="K57" s="44" t="s">
        <v>24</v>
      </c>
      <c r="L57" s="44" t="s">
        <v>25</v>
      </c>
      <c r="N57" s="17">
        <f t="shared" si="1"/>
        <v>0</v>
      </c>
    </row>
    <row r="58">
      <c r="A58" s="15" t="s">
        <v>26</v>
      </c>
      <c r="B58" s="16">
        <v>12.0</v>
      </c>
      <c r="C58" s="16">
        <v>45.0</v>
      </c>
      <c r="D58" s="16">
        <v>0.0</v>
      </c>
      <c r="E58" s="32">
        <v>9.4</v>
      </c>
      <c r="F58" s="32">
        <v>18.3</v>
      </c>
      <c r="G58" s="16">
        <v>15.0</v>
      </c>
      <c r="H58" s="16">
        <v>17.0</v>
      </c>
      <c r="I58" s="32">
        <v>26.4</v>
      </c>
      <c r="J58" s="32">
        <v>18.8</v>
      </c>
      <c r="K58" s="45">
        <v>20.0</v>
      </c>
      <c r="L58" s="45">
        <v>79.0</v>
      </c>
      <c r="N58" s="17">
        <f t="shared" si="1"/>
        <v>260.9</v>
      </c>
    </row>
    <row r="59">
      <c r="A59" s="15" t="s">
        <v>27</v>
      </c>
      <c r="B59" s="16">
        <v>7.0</v>
      </c>
      <c r="C59" s="16">
        <v>23.0</v>
      </c>
      <c r="D59" s="16">
        <v>0.0</v>
      </c>
      <c r="E59" s="33">
        <v>26.0</v>
      </c>
      <c r="F59" s="33">
        <v>11.0</v>
      </c>
      <c r="G59" s="16">
        <v>17.0</v>
      </c>
      <c r="H59" s="16">
        <v>5.0</v>
      </c>
      <c r="I59" s="33">
        <v>29.0</v>
      </c>
      <c r="J59" s="33">
        <v>31.0</v>
      </c>
      <c r="K59" s="45">
        <v>1.0</v>
      </c>
      <c r="L59" s="45">
        <v>0.0</v>
      </c>
      <c r="N59" s="17">
        <f t="shared" si="1"/>
        <v>150</v>
      </c>
    </row>
    <row r="60">
      <c r="A60" s="18" t="s">
        <v>28</v>
      </c>
      <c r="B60" s="18">
        <f t="shared" ref="B60:L60" si="11">SUM(B58:B59)</f>
        <v>19</v>
      </c>
      <c r="C60" s="18">
        <f t="shared" si="11"/>
        <v>68</v>
      </c>
      <c r="D60" s="18">
        <f t="shared" si="11"/>
        <v>0</v>
      </c>
      <c r="E60" s="18">
        <f t="shared" si="11"/>
        <v>35.4</v>
      </c>
      <c r="F60" s="18">
        <f t="shared" si="11"/>
        <v>29.3</v>
      </c>
      <c r="G60" s="18">
        <f t="shared" si="11"/>
        <v>32</v>
      </c>
      <c r="H60" s="18">
        <f t="shared" si="11"/>
        <v>22</v>
      </c>
      <c r="I60" s="18">
        <f t="shared" si="11"/>
        <v>55.4</v>
      </c>
      <c r="J60" s="18">
        <f t="shared" si="11"/>
        <v>49.8</v>
      </c>
      <c r="K60" s="47">
        <f t="shared" si="11"/>
        <v>21</v>
      </c>
      <c r="L60" s="47">
        <f t="shared" si="11"/>
        <v>79</v>
      </c>
      <c r="M60" s="20"/>
      <c r="N60" s="20">
        <f t="shared" si="1"/>
        <v>410.9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K61" s="50"/>
      <c r="L61" s="50"/>
      <c r="N61" s="17">
        <f t="shared" si="1"/>
        <v>0</v>
      </c>
    </row>
    <row r="62">
      <c r="A62" s="11">
        <v>45789.0</v>
      </c>
      <c r="B62" s="12"/>
      <c r="C62" s="12"/>
      <c r="D62" s="12"/>
      <c r="E62" s="12"/>
      <c r="F62" s="12"/>
      <c r="G62" s="12"/>
      <c r="H62" s="12"/>
      <c r="I62" s="12"/>
      <c r="J62" s="12"/>
      <c r="K62" s="50"/>
      <c r="L62" s="50"/>
      <c r="N62" s="17">
        <f t="shared" si="1"/>
        <v>0</v>
      </c>
    </row>
    <row r="63">
      <c r="A63" s="13" t="s">
        <v>14</v>
      </c>
      <c r="B63" s="13" t="s">
        <v>15</v>
      </c>
      <c r="C63" s="13" t="s">
        <v>16</v>
      </c>
      <c r="D63" s="13" t="s">
        <v>17</v>
      </c>
      <c r="E63" s="13" t="s">
        <v>18</v>
      </c>
      <c r="F63" s="13" t="s">
        <v>19</v>
      </c>
      <c r="G63" s="13" t="s">
        <v>20</v>
      </c>
      <c r="H63" s="13" t="s">
        <v>21</v>
      </c>
      <c r="I63" s="13" t="s">
        <v>22</v>
      </c>
      <c r="J63" s="13" t="s">
        <v>23</v>
      </c>
      <c r="K63" s="44" t="s">
        <v>24</v>
      </c>
      <c r="L63" s="44" t="s">
        <v>25</v>
      </c>
      <c r="N63" s="17">
        <f t="shared" si="1"/>
        <v>0</v>
      </c>
    </row>
    <row r="64">
      <c r="A64" s="15" t="s">
        <v>26</v>
      </c>
      <c r="B64" s="16">
        <v>15.0</v>
      </c>
      <c r="C64" s="16">
        <v>26.0</v>
      </c>
      <c r="D64" s="16">
        <v>11.0</v>
      </c>
      <c r="E64" s="16">
        <v>18.0</v>
      </c>
      <c r="F64" s="16">
        <v>15.0</v>
      </c>
      <c r="G64" s="16">
        <v>15.0</v>
      </c>
      <c r="H64" s="16">
        <v>15.0</v>
      </c>
      <c r="I64" s="16">
        <v>25.0</v>
      </c>
      <c r="J64" s="16">
        <v>28.56</v>
      </c>
      <c r="K64" s="45">
        <v>17.0</v>
      </c>
      <c r="L64" s="45">
        <v>80.0</v>
      </c>
      <c r="N64" s="17">
        <f t="shared" si="1"/>
        <v>265.56</v>
      </c>
    </row>
    <row r="65">
      <c r="A65" s="15" t="s">
        <v>27</v>
      </c>
      <c r="B65" s="16">
        <v>10.0</v>
      </c>
      <c r="C65" s="16">
        <v>14.0</v>
      </c>
      <c r="D65" s="16">
        <v>21.0</v>
      </c>
      <c r="E65" s="16">
        <v>10.0</v>
      </c>
      <c r="F65" s="16">
        <v>31.79</v>
      </c>
      <c r="G65" s="16">
        <v>18.0</v>
      </c>
      <c r="H65" s="16">
        <v>5.0</v>
      </c>
      <c r="I65" s="16">
        <v>0.0</v>
      </c>
      <c r="J65" s="16">
        <v>6.9</v>
      </c>
      <c r="K65" s="45">
        <v>2.0</v>
      </c>
      <c r="L65" s="45">
        <v>0.0</v>
      </c>
      <c r="N65" s="17">
        <f t="shared" si="1"/>
        <v>118.69</v>
      </c>
    </row>
    <row r="66">
      <c r="A66" s="18" t="s">
        <v>28</v>
      </c>
      <c r="B66" s="18">
        <f t="shared" ref="B66:L66" si="12">SUM(B64:B65)</f>
        <v>25</v>
      </c>
      <c r="C66" s="18">
        <f t="shared" si="12"/>
        <v>40</v>
      </c>
      <c r="D66" s="18">
        <f t="shared" si="12"/>
        <v>32</v>
      </c>
      <c r="E66" s="18">
        <f t="shared" si="12"/>
        <v>28</v>
      </c>
      <c r="F66" s="18">
        <f t="shared" si="12"/>
        <v>46.79</v>
      </c>
      <c r="G66" s="18">
        <f t="shared" si="12"/>
        <v>33</v>
      </c>
      <c r="H66" s="18">
        <f t="shared" si="12"/>
        <v>20</v>
      </c>
      <c r="I66" s="18">
        <f t="shared" si="12"/>
        <v>25</v>
      </c>
      <c r="J66" s="18">
        <f t="shared" si="12"/>
        <v>35.46</v>
      </c>
      <c r="K66" s="47">
        <f t="shared" si="12"/>
        <v>19</v>
      </c>
      <c r="L66" s="47">
        <f t="shared" si="12"/>
        <v>80</v>
      </c>
      <c r="M66" s="20"/>
      <c r="N66" s="20">
        <f t="shared" si="1"/>
        <v>384.25</v>
      </c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K67" s="50"/>
      <c r="L67" s="50"/>
      <c r="N67" s="17">
        <f t="shared" si="1"/>
        <v>0</v>
      </c>
    </row>
    <row r="68">
      <c r="A68" s="11">
        <v>45790.0</v>
      </c>
      <c r="B68" s="12"/>
      <c r="C68" s="12"/>
      <c r="D68" s="12"/>
      <c r="E68" s="12"/>
      <c r="F68" s="12"/>
      <c r="G68" s="12"/>
      <c r="H68" s="12"/>
      <c r="I68" s="12"/>
      <c r="J68" s="12"/>
      <c r="K68" s="50"/>
      <c r="L68" s="50"/>
      <c r="N68" s="17">
        <f t="shared" si="1"/>
        <v>0</v>
      </c>
    </row>
    <row r="69">
      <c r="A69" s="13" t="s">
        <v>14</v>
      </c>
      <c r="B69" s="13" t="s">
        <v>15</v>
      </c>
      <c r="C69" s="13" t="s">
        <v>16</v>
      </c>
      <c r="D69" s="13" t="s">
        <v>17</v>
      </c>
      <c r="E69" s="13" t="s">
        <v>18</v>
      </c>
      <c r="F69" s="13" t="s">
        <v>19</v>
      </c>
      <c r="G69" s="13" t="s">
        <v>20</v>
      </c>
      <c r="H69" s="13" t="s">
        <v>21</v>
      </c>
      <c r="I69" s="13" t="s">
        <v>22</v>
      </c>
      <c r="J69" s="13" t="s">
        <v>23</v>
      </c>
      <c r="K69" s="44" t="s">
        <v>24</v>
      </c>
      <c r="L69" s="44" t="s">
        <v>25</v>
      </c>
      <c r="N69" s="17">
        <f t="shared" si="1"/>
        <v>0</v>
      </c>
    </row>
    <row r="70">
      <c r="A70" s="15" t="s">
        <v>26</v>
      </c>
      <c r="B70" s="16">
        <v>28.0</v>
      </c>
      <c r="C70" s="16">
        <v>11.0</v>
      </c>
      <c r="D70" s="16">
        <v>0.0</v>
      </c>
      <c r="E70" s="16">
        <v>13.0</v>
      </c>
      <c r="F70" s="16">
        <v>26.0</v>
      </c>
      <c r="G70" s="16">
        <v>14.0</v>
      </c>
      <c r="H70" s="16">
        <v>20.0</v>
      </c>
      <c r="I70" s="16">
        <v>15.0</v>
      </c>
      <c r="J70" s="16">
        <v>20.0</v>
      </c>
      <c r="K70" s="45">
        <v>19.0</v>
      </c>
      <c r="L70" s="45">
        <v>89.0</v>
      </c>
      <c r="N70" s="17">
        <f t="shared" si="1"/>
        <v>255</v>
      </c>
    </row>
    <row r="71">
      <c r="A71" s="15" t="s">
        <v>27</v>
      </c>
      <c r="B71" s="16">
        <v>22.0</v>
      </c>
      <c r="C71" s="16">
        <v>17.0</v>
      </c>
      <c r="D71" s="16">
        <v>0.0</v>
      </c>
      <c r="E71" s="16">
        <v>0.0</v>
      </c>
      <c r="F71" s="16">
        <v>0.0</v>
      </c>
      <c r="G71" s="16">
        <v>15.0</v>
      </c>
      <c r="H71" s="16">
        <v>8.0</v>
      </c>
      <c r="I71" s="16">
        <v>0.0</v>
      </c>
      <c r="J71" s="16">
        <v>0.0</v>
      </c>
      <c r="K71" s="45">
        <v>2.0</v>
      </c>
      <c r="L71" s="45">
        <v>0.0</v>
      </c>
      <c r="N71" s="17">
        <f t="shared" si="1"/>
        <v>64</v>
      </c>
    </row>
    <row r="72">
      <c r="A72" s="18" t="s">
        <v>28</v>
      </c>
      <c r="B72" s="18">
        <f t="shared" ref="B72:L72" si="13">SUM(B70:B71)</f>
        <v>50</v>
      </c>
      <c r="C72" s="18">
        <f t="shared" si="13"/>
        <v>28</v>
      </c>
      <c r="D72" s="18">
        <f t="shared" si="13"/>
        <v>0</v>
      </c>
      <c r="E72" s="18">
        <f t="shared" si="13"/>
        <v>13</v>
      </c>
      <c r="F72" s="18">
        <f t="shared" si="13"/>
        <v>26</v>
      </c>
      <c r="G72" s="18">
        <f t="shared" si="13"/>
        <v>29</v>
      </c>
      <c r="H72" s="18">
        <f t="shared" si="13"/>
        <v>28</v>
      </c>
      <c r="I72" s="18">
        <f t="shared" si="13"/>
        <v>15</v>
      </c>
      <c r="J72" s="18">
        <f t="shared" si="13"/>
        <v>20</v>
      </c>
      <c r="K72" s="47">
        <f t="shared" si="13"/>
        <v>21</v>
      </c>
      <c r="L72" s="47">
        <f t="shared" si="13"/>
        <v>89</v>
      </c>
      <c r="M72" s="20"/>
      <c r="N72" s="20">
        <f t="shared" si="1"/>
        <v>319</v>
      </c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K73" s="50"/>
      <c r="L73" s="50"/>
      <c r="N73" s="17">
        <f t="shared" si="1"/>
        <v>0</v>
      </c>
    </row>
    <row r="74">
      <c r="A74" s="11">
        <v>45791.0</v>
      </c>
      <c r="B74" s="12"/>
      <c r="C74" s="12"/>
      <c r="D74" s="12"/>
      <c r="E74" s="12"/>
      <c r="F74" s="12"/>
      <c r="G74" s="12"/>
      <c r="H74" s="12"/>
      <c r="I74" s="12"/>
      <c r="J74" s="12"/>
      <c r="K74" s="50"/>
      <c r="L74" s="50"/>
      <c r="N74" s="17">
        <f t="shared" si="1"/>
        <v>0</v>
      </c>
    </row>
    <row r="75">
      <c r="A75" s="13" t="s">
        <v>14</v>
      </c>
      <c r="B75" s="13" t="s">
        <v>15</v>
      </c>
      <c r="C75" s="13" t="s">
        <v>16</v>
      </c>
      <c r="D75" s="13" t="s">
        <v>17</v>
      </c>
      <c r="E75" s="13" t="s">
        <v>18</v>
      </c>
      <c r="F75" s="13" t="s">
        <v>19</v>
      </c>
      <c r="G75" s="13" t="s">
        <v>20</v>
      </c>
      <c r="H75" s="13" t="s">
        <v>21</v>
      </c>
      <c r="I75" s="13" t="s">
        <v>22</v>
      </c>
      <c r="J75" s="13" t="s">
        <v>23</v>
      </c>
      <c r="K75" s="44" t="s">
        <v>24</v>
      </c>
      <c r="L75" s="44" t="s">
        <v>25</v>
      </c>
      <c r="N75" s="17">
        <f t="shared" si="1"/>
        <v>0</v>
      </c>
    </row>
    <row r="76">
      <c r="A76" s="15" t="s">
        <v>26</v>
      </c>
      <c r="B76" s="16">
        <v>48.0</v>
      </c>
      <c r="C76" s="16">
        <v>41.0</v>
      </c>
      <c r="D76" s="16">
        <v>0.0</v>
      </c>
      <c r="E76" s="16">
        <v>10.0</v>
      </c>
      <c r="F76" s="16">
        <v>16.0</v>
      </c>
      <c r="G76" s="16">
        <v>13.0</v>
      </c>
      <c r="H76" s="16">
        <v>12.0</v>
      </c>
      <c r="I76" s="16"/>
      <c r="J76" s="16"/>
      <c r="K76" s="45">
        <v>17.0</v>
      </c>
      <c r="L76" s="45">
        <v>87.0</v>
      </c>
      <c r="N76" s="17">
        <f t="shared" si="1"/>
        <v>244</v>
      </c>
    </row>
    <row r="77">
      <c r="A77" s="15" t="s">
        <v>27</v>
      </c>
      <c r="B77" s="16">
        <v>14.0</v>
      </c>
      <c r="C77" s="16">
        <v>11.0</v>
      </c>
      <c r="D77" s="16">
        <v>0.0</v>
      </c>
      <c r="E77" s="16">
        <v>20.0</v>
      </c>
      <c r="F77" s="16">
        <v>10.0</v>
      </c>
      <c r="G77" s="16">
        <v>12.0</v>
      </c>
      <c r="H77" s="16">
        <v>5.0</v>
      </c>
      <c r="I77" s="16">
        <v>10.0</v>
      </c>
      <c r="J77" s="16">
        <v>10.0</v>
      </c>
      <c r="K77" s="45">
        <v>2.0</v>
      </c>
      <c r="L77" s="45">
        <v>0.0</v>
      </c>
      <c r="N77" s="17">
        <f t="shared" si="1"/>
        <v>94</v>
      </c>
    </row>
    <row r="78">
      <c r="A78" s="18" t="s">
        <v>28</v>
      </c>
      <c r="B78" s="18">
        <f t="shared" ref="B78:L78" si="14">SUM(B76:B77)</f>
        <v>62</v>
      </c>
      <c r="C78" s="18">
        <f t="shared" si="14"/>
        <v>52</v>
      </c>
      <c r="D78" s="18">
        <f t="shared" si="14"/>
        <v>0</v>
      </c>
      <c r="E78" s="18">
        <f t="shared" si="14"/>
        <v>30</v>
      </c>
      <c r="F78" s="18">
        <f t="shared" si="14"/>
        <v>26</v>
      </c>
      <c r="G78" s="18">
        <f t="shared" si="14"/>
        <v>25</v>
      </c>
      <c r="H78" s="18">
        <f t="shared" si="14"/>
        <v>17</v>
      </c>
      <c r="I78" s="18">
        <f t="shared" si="14"/>
        <v>10</v>
      </c>
      <c r="J78" s="18">
        <f t="shared" si="14"/>
        <v>10</v>
      </c>
      <c r="K78" s="47">
        <f t="shared" si="14"/>
        <v>19</v>
      </c>
      <c r="L78" s="47">
        <f t="shared" si="14"/>
        <v>87</v>
      </c>
      <c r="M78" s="20"/>
      <c r="N78" s="20">
        <f t="shared" si="1"/>
        <v>338</v>
      </c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G79" s="23"/>
      <c r="H79" s="23"/>
      <c r="K79" s="50"/>
      <c r="L79" s="50"/>
      <c r="N79" s="17">
        <f t="shared" si="1"/>
        <v>0</v>
      </c>
    </row>
    <row r="80">
      <c r="A80" s="11">
        <v>45792.0</v>
      </c>
      <c r="B80" s="12"/>
      <c r="C80" s="12"/>
      <c r="D80" s="12"/>
      <c r="E80" s="12"/>
      <c r="F80" s="12"/>
      <c r="G80" s="12"/>
      <c r="H80" s="12"/>
      <c r="I80" s="12"/>
      <c r="J80" s="12"/>
      <c r="K80" s="50"/>
      <c r="L80" s="50"/>
      <c r="N80" s="17">
        <f t="shared" si="1"/>
        <v>0</v>
      </c>
    </row>
    <row r="81">
      <c r="A81" s="13" t="s">
        <v>14</v>
      </c>
      <c r="B81" s="13" t="s">
        <v>15</v>
      </c>
      <c r="C81" s="13" t="s">
        <v>16</v>
      </c>
      <c r="D81" s="13" t="s">
        <v>17</v>
      </c>
      <c r="E81" s="13" t="s">
        <v>18</v>
      </c>
      <c r="F81" s="13" t="s">
        <v>19</v>
      </c>
      <c r="G81" s="13" t="s">
        <v>20</v>
      </c>
      <c r="H81" s="13" t="s">
        <v>21</v>
      </c>
      <c r="I81" s="13" t="s">
        <v>22</v>
      </c>
      <c r="J81" s="13" t="s">
        <v>23</v>
      </c>
      <c r="K81" s="44" t="s">
        <v>24</v>
      </c>
      <c r="L81" s="44" t="s">
        <v>25</v>
      </c>
      <c r="N81" s="17">
        <f t="shared" si="1"/>
        <v>0</v>
      </c>
    </row>
    <row r="82">
      <c r="A82" s="15" t="s">
        <v>26</v>
      </c>
      <c r="B82" s="16">
        <v>57.0</v>
      </c>
      <c r="C82" s="16">
        <v>51.0</v>
      </c>
      <c r="D82" s="16">
        <v>16.0</v>
      </c>
      <c r="E82" s="16">
        <v>26.0</v>
      </c>
      <c r="F82" s="16">
        <v>25.0</v>
      </c>
      <c r="G82" s="16">
        <v>25.0</v>
      </c>
      <c r="H82" s="16">
        <v>17.0</v>
      </c>
      <c r="I82" s="16">
        <v>17.0</v>
      </c>
      <c r="J82" s="16">
        <v>19.0</v>
      </c>
      <c r="K82" s="45">
        <v>19.0</v>
      </c>
      <c r="L82" s="45">
        <v>88.0</v>
      </c>
      <c r="N82" s="17">
        <f t="shared" si="1"/>
        <v>360</v>
      </c>
    </row>
    <row r="83">
      <c r="A83" s="15" t="s">
        <v>27</v>
      </c>
      <c r="B83" s="16">
        <v>10.0</v>
      </c>
      <c r="C83" s="16">
        <v>6.0</v>
      </c>
      <c r="D83" s="16">
        <v>10.0</v>
      </c>
      <c r="E83" s="16">
        <v>10.0</v>
      </c>
      <c r="F83" s="16">
        <v>10.0</v>
      </c>
      <c r="G83" s="16">
        <v>17.0</v>
      </c>
      <c r="H83" s="16">
        <v>10.0</v>
      </c>
      <c r="I83" s="16">
        <v>8.0</v>
      </c>
      <c r="J83" s="16">
        <v>10.6</v>
      </c>
      <c r="K83" s="45">
        <v>1.0</v>
      </c>
      <c r="L83" s="45">
        <v>0.0</v>
      </c>
      <c r="N83" s="17">
        <f t="shared" si="1"/>
        <v>92.6</v>
      </c>
    </row>
    <row r="84">
      <c r="A84" s="18" t="s">
        <v>28</v>
      </c>
      <c r="B84" s="18">
        <f t="shared" ref="B84:L84" si="15">SUM(B82:B83)</f>
        <v>67</v>
      </c>
      <c r="C84" s="18">
        <f t="shared" si="15"/>
        <v>57</v>
      </c>
      <c r="D84" s="18">
        <f t="shared" si="15"/>
        <v>26</v>
      </c>
      <c r="E84" s="18">
        <f t="shared" si="15"/>
        <v>36</v>
      </c>
      <c r="F84" s="18">
        <f t="shared" si="15"/>
        <v>35</v>
      </c>
      <c r="G84" s="18">
        <f t="shared" si="15"/>
        <v>42</v>
      </c>
      <c r="H84" s="18">
        <f t="shared" si="15"/>
        <v>27</v>
      </c>
      <c r="I84" s="18">
        <f t="shared" si="15"/>
        <v>25</v>
      </c>
      <c r="J84" s="18">
        <f t="shared" si="15"/>
        <v>29.6</v>
      </c>
      <c r="K84" s="47">
        <f t="shared" si="15"/>
        <v>20</v>
      </c>
      <c r="L84" s="47">
        <f t="shared" si="15"/>
        <v>88</v>
      </c>
      <c r="M84" s="20"/>
      <c r="N84" s="20">
        <f t="shared" si="1"/>
        <v>452.6</v>
      </c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G85" s="27"/>
      <c r="H85" s="27"/>
      <c r="K85" s="50"/>
      <c r="L85" s="50"/>
      <c r="N85" s="17">
        <f t="shared" si="1"/>
        <v>0</v>
      </c>
    </row>
    <row r="86">
      <c r="A86" s="11">
        <v>45793.0</v>
      </c>
      <c r="B86" s="12"/>
      <c r="C86" s="12"/>
      <c r="D86" s="12"/>
      <c r="E86" s="12"/>
      <c r="F86" s="12"/>
      <c r="G86" s="29"/>
      <c r="H86" s="29"/>
      <c r="I86" s="12"/>
      <c r="J86" s="12"/>
      <c r="K86" s="50"/>
      <c r="L86" s="50"/>
      <c r="N86" s="17">
        <f t="shared" si="1"/>
        <v>0</v>
      </c>
    </row>
    <row r="87">
      <c r="A87" s="13" t="s">
        <v>14</v>
      </c>
      <c r="B87" s="13" t="s">
        <v>15</v>
      </c>
      <c r="C87" s="13" t="s">
        <v>16</v>
      </c>
      <c r="D87" s="13" t="s">
        <v>17</v>
      </c>
      <c r="E87" s="13" t="s">
        <v>18</v>
      </c>
      <c r="F87" s="13" t="s">
        <v>19</v>
      </c>
      <c r="G87" s="30" t="s">
        <v>20</v>
      </c>
      <c r="H87" s="30" t="s">
        <v>21</v>
      </c>
      <c r="I87" s="13" t="s">
        <v>22</v>
      </c>
      <c r="J87" s="13" t="s">
        <v>23</v>
      </c>
      <c r="K87" s="44" t="s">
        <v>24</v>
      </c>
      <c r="L87" s="44" t="s">
        <v>25</v>
      </c>
      <c r="N87" s="17">
        <f t="shared" si="1"/>
        <v>0</v>
      </c>
    </row>
    <row r="88">
      <c r="A88" s="15" t="s">
        <v>26</v>
      </c>
      <c r="B88" s="16">
        <v>19.0</v>
      </c>
      <c r="C88" s="16">
        <v>11.0</v>
      </c>
      <c r="D88" s="16">
        <v>20.0</v>
      </c>
      <c r="E88" s="16">
        <v>1.8</v>
      </c>
      <c r="F88" s="16">
        <v>15.7</v>
      </c>
      <c r="G88" s="16">
        <v>13.0</v>
      </c>
      <c r="H88" s="16">
        <v>12.0</v>
      </c>
      <c r="I88" s="16">
        <v>5.4</v>
      </c>
      <c r="J88" s="16">
        <v>38.8</v>
      </c>
      <c r="K88" s="45">
        <v>19.0</v>
      </c>
      <c r="L88" s="45">
        <v>70.0</v>
      </c>
      <c r="N88" s="17">
        <f t="shared" si="1"/>
        <v>225.7</v>
      </c>
    </row>
    <row r="89">
      <c r="A89" s="15" t="s">
        <v>27</v>
      </c>
      <c r="B89" s="16">
        <v>40.0</v>
      </c>
      <c r="C89" s="16">
        <v>7.0</v>
      </c>
      <c r="D89" s="16">
        <v>9.8</v>
      </c>
      <c r="E89" s="16">
        <v>20.0</v>
      </c>
      <c r="F89" s="16">
        <v>20.0</v>
      </c>
      <c r="G89" s="16">
        <v>12.0</v>
      </c>
      <c r="H89" s="16">
        <v>9.0</v>
      </c>
      <c r="I89" s="16">
        <v>20.0</v>
      </c>
      <c r="J89" s="16">
        <v>20.0</v>
      </c>
      <c r="K89" s="45">
        <v>1.0</v>
      </c>
      <c r="L89" s="45">
        <v>1.0</v>
      </c>
      <c r="N89" s="17">
        <f t="shared" si="1"/>
        <v>159.8</v>
      </c>
    </row>
    <row r="90">
      <c r="A90" s="18" t="s">
        <v>28</v>
      </c>
      <c r="B90" s="18">
        <f t="shared" ref="B90:L90" si="16">SUM(B88:B89)</f>
        <v>59</v>
      </c>
      <c r="C90" s="18">
        <f t="shared" si="16"/>
        <v>18</v>
      </c>
      <c r="D90" s="18">
        <f t="shared" si="16"/>
        <v>29.8</v>
      </c>
      <c r="E90" s="18">
        <f t="shared" si="16"/>
        <v>21.8</v>
      </c>
      <c r="F90" s="18">
        <f t="shared" si="16"/>
        <v>35.7</v>
      </c>
      <c r="G90" s="18">
        <f t="shared" si="16"/>
        <v>25</v>
      </c>
      <c r="H90" s="18">
        <f t="shared" si="16"/>
        <v>21</v>
      </c>
      <c r="I90" s="18">
        <f t="shared" si="16"/>
        <v>25.4</v>
      </c>
      <c r="J90" s="18">
        <f t="shared" si="16"/>
        <v>58.8</v>
      </c>
      <c r="K90" s="47">
        <f t="shared" si="16"/>
        <v>20</v>
      </c>
      <c r="L90" s="47">
        <f t="shared" si="16"/>
        <v>71</v>
      </c>
      <c r="M90" s="20"/>
      <c r="N90" s="20">
        <f t="shared" si="1"/>
        <v>385.5</v>
      </c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G91" s="29"/>
      <c r="H91" s="29"/>
      <c r="K91" s="59"/>
      <c r="L91" s="59"/>
      <c r="N91" s="17">
        <f t="shared" si="1"/>
        <v>0</v>
      </c>
    </row>
    <row r="92">
      <c r="A92" s="11">
        <v>45794.0</v>
      </c>
      <c r="B92" s="12"/>
      <c r="C92" s="12"/>
      <c r="D92" s="12"/>
      <c r="E92" s="12"/>
      <c r="F92" s="12"/>
      <c r="G92" s="29"/>
      <c r="H92" s="29"/>
      <c r="I92" s="12"/>
      <c r="J92" s="12"/>
      <c r="K92" s="50"/>
      <c r="L92" s="50"/>
      <c r="N92" s="17">
        <f t="shared" si="1"/>
        <v>0</v>
      </c>
    </row>
    <row r="93">
      <c r="A93" s="13" t="s">
        <v>14</v>
      </c>
      <c r="B93" s="13" t="s">
        <v>15</v>
      </c>
      <c r="C93" s="13" t="s">
        <v>16</v>
      </c>
      <c r="D93" s="13" t="s">
        <v>17</v>
      </c>
      <c r="E93" s="13" t="s">
        <v>18</v>
      </c>
      <c r="F93" s="13" t="s">
        <v>19</v>
      </c>
      <c r="G93" s="30" t="s">
        <v>20</v>
      </c>
      <c r="H93" s="30" t="s">
        <v>21</v>
      </c>
      <c r="I93" s="13" t="s">
        <v>22</v>
      </c>
      <c r="J93" s="13" t="s">
        <v>23</v>
      </c>
      <c r="K93" s="44" t="s">
        <v>24</v>
      </c>
      <c r="L93" s="44" t="s">
        <v>25</v>
      </c>
      <c r="N93" s="17">
        <f t="shared" si="1"/>
        <v>0</v>
      </c>
    </row>
    <row r="94">
      <c r="A94" s="15" t="s">
        <v>26</v>
      </c>
      <c r="B94" s="16">
        <v>20.0</v>
      </c>
      <c r="C94" s="16">
        <v>17.0</v>
      </c>
      <c r="D94" s="16">
        <v>25.0</v>
      </c>
      <c r="E94" s="16">
        <v>26.0</v>
      </c>
      <c r="F94" s="16">
        <v>24.0</v>
      </c>
      <c r="G94" s="33">
        <v>10.0</v>
      </c>
      <c r="H94" s="33">
        <v>20.0</v>
      </c>
      <c r="I94" s="16">
        <v>28.0</v>
      </c>
      <c r="J94" s="16">
        <v>13.0</v>
      </c>
      <c r="K94" s="45">
        <v>20.0</v>
      </c>
      <c r="L94" s="45">
        <v>86.0</v>
      </c>
      <c r="N94" s="17">
        <f t="shared" si="1"/>
        <v>289</v>
      </c>
    </row>
    <row r="95">
      <c r="A95" s="15" t="s">
        <v>27</v>
      </c>
      <c r="B95" s="16">
        <v>25.0</v>
      </c>
      <c r="C95" s="16">
        <v>4.0</v>
      </c>
      <c r="D95" s="16">
        <v>10.0</v>
      </c>
      <c r="E95" s="16">
        <v>10.0</v>
      </c>
      <c r="F95" s="16">
        <v>12.0</v>
      </c>
      <c r="G95" s="33">
        <v>20.0</v>
      </c>
      <c r="H95" s="33">
        <v>10.0</v>
      </c>
      <c r="I95" s="16">
        <v>10.0</v>
      </c>
      <c r="J95" s="16">
        <v>16.0</v>
      </c>
      <c r="K95" s="45">
        <v>1.0</v>
      </c>
      <c r="L95" s="45">
        <v>0.0</v>
      </c>
      <c r="N95" s="17">
        <f t="shared" si="1"/>
        <v>118</v>
      </c>
    </row>
    <row r="96">
      <c r="A96" s="18" t="s">
        <v>28</v>
      </c>
      <c r="B96" s="18">
        <f t="shared" ref="B96:L96" si="17">SUM(B94:B95)</f>
        <v>45</v>
      </c>
      <c r="C96" s="18">
        <f t="shared" si="17"/>
        <v>21</v>
      </c>
      <c r="D96" s="18">
        <f t="shared" si="17"/>
        <v>35</v>
      </c>
      <c r="E96" s="18">
        <f t="shared" si="17"/>
        <v>36</v>
      </c>
      <c r="F96" s="18">
        <f t="shared" si="17"/>
        <v>36</v>
      </c>
      <c r="G96" s="18">
        <f t="shared" si="17"/>
        <v>30</v>
      </c>
      <c r="H96" s="18">
        <f t="shared" si="17"/>
        <v>30</v>
      </c>
      <c r="I96" s="18">
        <f t="shared" si="17"/>
        <v>38</v>
      </c>
      <c r="J96" s="18">
        <f t="shared" si="17"/>
        <v>29</v>
      </c>
      <c r="K96" s="47">
        <f t="shared" si="17"/>
        <v>21</v>
      </c>
      <c r="L96" s="47">
        <f t="shared" si="17"/>
        <v>86</v>
      </c>
      <c r="M96" s="20"/>
      <c r="N96" s="20">
        <f t="shared" si="1"/>
        <v>407</v>
      </c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G97" s="29"/>
      <c r="H97" s="29"/>
      <c r="K97" s="50"/>
      <c r="L97" s="50"/>
      <c r="N97" s="17">
        <f t="shared" si="1"/>
        <v>0</v>
      </c>
    </row>
    <row r="98">
      <c r="A98" s="11">
        <v>45795.0</v>
      </c>
      <c r="B98" s="12"/>
      <c r="C98" s="12"/>
      <c r="D98" s="12"/>
      <c r="E98" s="12"/>
      <c r="F98" s="12"/>
      <c r="G98" s="29"/>
      <c r="H98" s="29"/>
      <c r="I98" s="12"/>
      <c r="J98" s="12"/>
      <c r="K98" s="50"/>
      <c r="L98" s="50"/>
      <c r="N98" s="17">
        <f t="shared" si="1"/>
        <v>0</v>
      </c>
    </row>
    <row r="99">
      <c r="A99" s="13" t="s">
        <v>14</v>
      </c>
      <c r="B99" s="13" t="s">
        <v>15</v>
      </c>
      <c r="C99" s="13" t="s">
        <v>16</v>
      </c>
      <c r="D99" s="13" t="s">
        <v>17</v>
      </c>
      <c r="E99" s="13" t="s">
        <v>18</v>
      </c>
      <c r="F99" s="13" t="s">
        <v>19</v>
      </c>
      <c r="G99" s="30" t="s">
        <v>20</v>
      </c>
      <c r="H99" s="30" t="s">
        <v>21</v>
      </c>
      <c r="I99" s="13" t="s">
        <v>22</v>
      </c>
      <c r="J99" s="13" t="s">
        <v>23</v>
      </c>
      <c r="K99" s="44" t="s">
        <v>24</v>
      </c>
      <c r="L99" s="44" t="s">
        <v>25</v>
      </c>
      <c r="N99" s="17">
        <f t="shared" si="1"/>
        <v>0</v>
      </c>
    </row>
    <row r="100">
      <c r="A100" s="15" t="s">
        <v>26</v>
      </c>
      <c r="B100" s="16">
        <v>53.0</v>
      </c>
      <c r="C100" s="16">
        <v>18.0</v>
      </c>
      <c r="D100" s="16">
        <v>30.0</v>
      </c>
      <c r="E100" s="16">
        <v>30.0</v>
      </c>
      <c r="F100" s="16">
        <v>45.0</v>
      </c>
      <c r="G100" s="16">
        <v>13.6</v>
      </c>
      <c r="H100" s="16">
        <v>12.0</v>
      </c>
      <c r="I100" s="16">
        <v>26.0</v>
      </c>
      <c r="J100" s="16">
        <v>29.0</v>
      </c>
      <c r="K100" s="45">
        <v>25.0</v>
      </c>
      <c r="L100" s="45">
        <v>80.0</v>
      </c>
      <c r="N100" s="17">
        <f t="shared" si="1"/>
        <v>361.6</v>
      </c>
    </row>
    <row r="101">
      <c r="A101" s="15" t="s">
        <v>27</v>
      </c>
      <c r="B101" s="16">
        <v>36.0</v>
      </c>
      <c r="C101" s="16">
        <v>15.0</v>
      </c>
      <c r="D101" s="16">
        <v>20.0</v>
      </c>
      <c r="E101" s="16">
        <v>20.0</v>
      </c>
      <c r="F101" s="16">
        <v>12.0</v>
      </c>
      <c r="G101" s="16">
        <v>12.0</v>
      </c>
      <c r="H101" s="16">
        <v>5.5</v>
      </c>
      <c r="I101" s="16">
        <v>25.0</v>
      </c>
      <c r="J101" s="16">
        <v>15.0</v>
      </c>
      <c r="K101" s="45">
        <v>2.0</v>
      </c>
      <c r="L101" s="45">
        <v>0.0</v>
      </c>
      <c r="N101" s="17">
        <f t="shared" si="1"/>
        <v>162.5</v>
      </c>
    </row>
    <row r="102">
      <c r="A102" s="18" t="s">
        <v>28</v>
      </c>
      <c r="B102" s="18">
        <f t="shared" ref="B102:L102" si="18">SUM(B100:B101)</f>
        <v>89</v>
      </c>
      <c r="C102" s="18">
        <f t="shared" si="18"/>
        <v>33</v>
      </c>
      <c r="D102" s="18">
        <f t="shared" si="18"/>
        <v>50</v>
      </c>
      <c r="E102" s="18">
        <f t="shared" si="18"/>
        <v>50</v>
      </c>
      <c r="F102" s="18">
        <f t="shared" si="18"/>
        <v>57</v>
      </c>
      <c r="G102" s="18">
        <f t="shared" si="18"/>
        <v>25.6</v>
      </c>
      <c r="H102" s="18">
        <f t="shared" si="18"/>
        <v>17.5</v>
      </c>
      <c r="I102" s="18">
        <f t="shared" si="18"/>
        <v>51</v>
      </c>
      <c r="J102" s="18">
        <f t="shared" si="18"/>
        <v>44</v>
      </c>
      <c r="K102" s="47">
        <f t="shared" si="18"/>
        <v>27</v>
      </c>
      <c r="L102" s="47">
        <f t="shared" si="18"/>
        <v>80</v>
      </c>
      <c r="M102" s="20"/>
      <c r="N102" s="20">
        <f t="shared" si="1"/>
        <v>524.1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G103" s="29"/>
      <c r="H103" s="29"/>
      <c r="K103" s="50"/>
      <c r="L103" s="50"/>
      <c r="N103" s="17">
        <f t="shared" si="1"/>
        <v>0</v>
      </c>
    </row>
    <row r="104">
      <c r="A104" s="11">
        <v>45796.0</v>
      </c>
      <c r="B104" s="12"/>
      <c r="C104" s="12"/>
      <c r="D104" s="12"/>
      <c r="E104" s="12"/>
      <c r="F104" s="12"/>
      <c r="G104" s="29"/>
      <c r="H104" s="29"/>
      <c r="I104" s="12"/>
      <c r="J104" s="12"/>
      <c r="K104" s="50"/>
      <c r="L104" s="50"/>
      <c r="N104" s="17">
        <f t="shared" si="1"/>
        <v>0</v>
      </c>
    </row>
    <row r="105">
      <c r="A105" s="13" t="s">
        <v>14</v>
      </c>
      <c r="B105" s="13" t="s">
        <v>15</v>
      </c>
      <c r="C105" s="13" t="s">
        <v>16</v>
      </c>
      <c r="D105" s="13" t="s">
        <v>17</v>
      </c>
      <c r="E105" s="13" t="s">
        <v>18</v>
      </c>
      <c r="F105" s="13" t="s">
        <v>19</v>
      </c>
      <c r="G105" s="30" t="s">
        <v>20</v>
      </c>
      <c r="H105" s="30" t="s">
        <v>21</v>
      </c>
      <c r="I105" s="13" t="s">
        <v>22</v>
      </c>
      <c r="J105" s="13" t="s">
        <v>23</v>
      </c>
      <c r="K105" s="44" t="s">
        <v>24</v>
      </c>
      <c r="L105" s="44" t="s">
        <v>25</v>
      </c>
      <c r="N105" s="17">
        <f t="shared" si="1"/>
        <v>0</v>
      </c>
    </row>
    <row r="106">
      <c r="A106" s="15" t="s">
        <v>26</v>
      </c>
      <c r="B106" s="16">
        <v>39.0</v>
      </c>
      <c r="C106" s="16">
        <v>36.0</v>
      </c>
      <c r="D106" s="16">
        <v>10.0</v>
      </c>
      <c r="E106" s="16">
        <v>37.4</v>
      </c>
      <c r="F106" s="16">
        <v>16.0</v>
      </c>
      <c r="G106" s="33">
        <v>10.0</v>
      </c>
      <c r="H106" s="33">
        <v>15.0</v>
      </c>
      <c r="I106" s="16">
        <v>13.0</v>
      </c>
      <c r="J106" s="16">
        <v>15.5</v>
      </c>
      <c r="K106" s="45">
        <v>26.0</v>
      </c>
      <c r="L106" s="45">
        <v>79.0</v>
      </c>
      <c r="N106" s="17">
        <f t="shared" si="1"/>
        <v>296.9</v>
      </c>
    </row>
    <row r="107">
      <c r="A107" s="15" t="s">
        <v>27</v>
      </c>
      <c r="B107" s="16">
        <v>27.0</v>
      </c>
      <c r="C107" s="16">
        <v>25.0</v>
      </c>
      <c r="D107" s="16">
        <v>7.0</v>
      </c>
      <c r="E107" s="16">
        <v>50.0</v>
      </c>
      <c r="F107" s="16">
        <v>35.0</v>
      </c>
      <c r="G107" s="33">
        <v>25.0</v>
      </c>
      <c r="H107" s="33">
        <v>4.5</v>
      </c>
      <c r="I107" s="16">
        <v>50.0</v>
      </c>
      <c r="J107" s="16">
        <v>50.0</v>
      </c>
      <c r="K107" s="45">
        <v>1.0</v>
      </c>
      <c r="L107" s="45">
        <v>0.0</v>
      </c>
      <c r="N107" s="17">
        <f t="shared" si="1"/>
        <v>274.5</v>
      </c>
    </row>
    <row r="108">
      <c r="A108" s="18" t="s">
        <v>28</v>
      </c>
      <c r="B108" s="18">
        <f t="shared" ref="B108:L108" si="19">SUM(B106:B107)</f>
        <v>66</v>
      </c>
      <c r="C108" s="18">
        <f t="shared" si="19"/>
        <v>61</v>
      </c>
      <c r="D108" s="18">
        <f t="shared" si="19"/>
        <v>17</v>
      </c>
      <c r="E108" s="18">
        <f t="shared" si="19"/>
        <v>87.4</v>
      </c>
      <c r="F108" s="18">
        <f t="shared" si="19"/>
        <v>51</v>
      </c>
      <c r="G108" s="18">
        <f t="shared" si="19"/>
        <v>35</v>
      </c>
      <c r="H108" s="18">
        <f t="shared" si="19"/>
        <v>19.5</v>
      </c>
      <c r="I108" s="18">
        <f t="shared" si="19"/>
        <v>63</v>
      </c>
      <c r="J108" s="18">
        <f t="shared" si="19"/>
        <v>65.5</v>
      </c>
      <c r="K108" s="47">
        <f t="shared" si="19"/>
        <v>27</v>
      </c>
      <c r="L108" s="47">
        <f t="shared" si="19"/>
        <v>79</v>
      </c>
      <c r="M108" s="20"/>
      <c r="N108" s="20">
        <f t="shared" si="1"/>
        <v>571.4</v>
      </c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G109" s="29"/>
      <c r="H109" s="29"/>
      <c r="K109" s="50"/>
      <c r="L109" s="50"/>
      <c r="N109" s="17">
        <f t="shared" si="1"/>
        <v>0</v>
      </c>
    </row>
    <row r="110">
      <c r="A110" s="11">
        <v>45797.0</v>
      </c>
      <c r="B110" s="12"/>
      <c r="C110" s="12"/>
      <c r="D110" s="12"/>
      <c r="E110" s="12"/>
      <c r="F110" s="12"/>
      <c r="G110" s="29"/>
      <c r="H110" s="29"/>
      <c r="I110" s="12"/>
      <c r="J110" s="12"/>
      <c r="K110" s="50"/>
      <c r="L110" s="50"/>
      <c r="N110" s="17">
        <f t="shared" si="1"/>
        <v>0</v>
      </c>
    </row>
    <row r="111">
      <c r="A111" s="13" t="s">
        <v>14</v>
      </c>
      <c r="B111" s="13" t="s">
        <v>15</v>
      </c>
      <c r="C111" s="30" t="s">
        <v>30</v>
      </c>
      <c r="D111" s="13" t="s">
        <v>17</v>
      </c>
      <c r="E111" s="13" t="s">
        <v>18</v>
      </c>
      <c r="F111" s="13" t="s">
        <v>19</v>
      </c>
      <c r="G111" s="30" t="s">
        <v>20</v>
      </c>
      <c r="H111" s="30" t="s">
        <v>21</v>
      </c>
      <c r="I111" s="13" t="s">
        <v>22</v>
      </c>
      <c r="J111" s="13" t="s">
        <v>23</v>
      </c>
      <c r="K111" s="44" t="s">
        <v>24</v>
      </c>
      <c r="L111" s="44" t="s">
        <v>25</v>
      </c>
      <c r="N111" s="17">
        <f t="shared" si="1"/>
        <v>0</v>
      </c>
    </row>
    <row r="112">
      <c r="A112" s="15" t="s">
        <v>26</v>
      </c>
      <c r="B112" s="16">
        <v>35.0</v>
      </c>
      <c r="C112" s="33">
        <v>40.0</v>
      </c>
      <c r="D112" s="16">
        <v>19.5</v>
      </c>
      <c r="E112" s="16">
        <v>16.8</v>
      </c>
      <c r="F112" s="16">
        <v>18.9</v>
      </c>
      <c r="G112" s="16">
        <v>13.6</v>
      </c>
      <c r="H112" s="16">
        <v>12.0</v>
      </c>
      <c r="I112" s="16">
        <v>20.5</v>
      </c>
      <c r="J112" s="16">
        <v>27.5</v>
      </c>
      <c r="K112" s="45">
        <v>27.0</v>
      </c>
      <c r="L112" s="45">
        <v>80.0</v>
      </c>
      <c r="N112" s="17">
        <f t="shared" si="1"/>
        <v>310.8</v>
      </c>
    </row>
    <row r="113">
      <c r="A113" s="15" t="s">
        <v>27</v>
      </c>
      <c r="B113" s="16">
        <v>12.0</v>
      </c>
      <c r="C113" s="33">
        <v>18.0</v>
      </c>
      <c r="D113" s="16">
        <v>6.0</v>
      </c>
      <c r="E113" s="16">
        <v>0.0</v>
      </c>
      <c r="F113" s="16">
        <v>0.0</v>
      </c>
      <c r="G113" s="33">
        <v>9.0</v>
      </c>
      <c r="H113" s="33">
        <v>6.0</v>
      </c>
      <c r="I113" s="16">
        <v>0.0</v>
      </c>
      <c r="J113" s="16">
        <v>0.0</v>
      </c>
      <c r="K113" s="45">
        <v>1.0</v>
      </c>
      <c r="L113" s="45">
        <v>0.0</v>
      </c>
      <c r="N113" s="17">
        <f t="shared" si="1"/>
        <v>52</v>
      </c>
    </row>
    <row r="114">
      <c r="A114" s="18" t="s">
        <v>28</v>
      </c>
      <c r="B114" s="18">
        <f t="shared" ref="B114:L114" si="20">SUM(B112:B113)</f>
        <v>47</v>
      </c>
      <c r="C114" s="46">
        <f t="shared" si="20"/>
        <v>58</v>
      </c>
      <c r="D114" s="18">
        <f t="shared" si="20"/>
        <v>25.5</v>
      </c>
      <c r="E114" s="18">
        <f t="shared" si="20"/>
        <v>16.8</v>
      </c>
      <c r="F114" s="18">
        <f t="shared" si="20"/>
        <v>18.9</v>
      </c>
      <c r="G114" s="18">
        <f t="shared" si="20"/>
        <v>22.6</v>
      </c>
      <c r="H114" s="18">
        <f t="shared" si="20"/>
        <v>18</v>
      </c>
      <c r="I114" s="18">
        <f t="shared" si="20"/>
        <v>20.5</v>
      </c>
      <c r="J114" s="18">
        <f t="shared" si="20"/>
        <v>27.5</v>
      </c>
      <c r="K114" s="47">
        <f t="shared" si="20"/>
        <v>28</v>
      </c>
      <c r="L114" s="47">
        <f t="shared" si="20"/>
        <v>80</v>
      </c>
      <c r="M114" s="20"/>
      <c r="N114" s="20">
        <f t="shared" si="1"/>
        <v>362.8</v>
      </c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G115" s="29"/>
      <c r="H115" s="29"/>
      <c r="K115" s="50"/>
      <c r="L115" s="50"/>
      <c r="N115" s="17">
        <f t="shared" si="1"/>
        <v>0</v>
      </c>
    </row>
    <row r="116">
      <c r="A116" s="11">
        <v>45798.0</v>
      </c>
      <c r="B116" s="12"/>
      <c r="C116" s="12"/>
      <c r="D116" s="12"/>
      <c r="E116" s="12"/>
      <c r="F116" s="12"/>
      <c r="G116" s="29"/>
      <c r="H116" s="29"/>
      <c r="I116" s="12"/>
      <c r="J116" s="12"/>
      <c r="K116" s="50"/>
      <c r="L116" s="50"/>
      <c r="N116" s="17">
        <f t="shared" si="1"/>
        <v>0</v>
      </c>
    </row>
    <row r="117">
      <c r="A117" s="13" t="s">
        <v>14</v>
      </c>
      <c r="B117" s="13" t="s">
        <v>15</v>
      </c>
      <c r="C117" s="30" t="s">
        <v>30</v>
      </c>
      <c r="D117" s="13" t="s">
        <v>17</v>
      </c>
      <c r="E117" s="13" t="s">
        <v>18</v>
      </c>
      <c r="F117" s="13" t="s">
        <v>19</v>
      </c>
      <c r="G117" s="30" t="s">
        <v>20</v>
      </c>
      <c r="H117" s="30" t="s">
        <v>21</v>
      </c>
      <c r="I117" s="13" t="s">
        <v>22</v>
      </c>
      <c r="J117" s="13" t="s">
        <v>23</v>
      </c>
      <c r="K117" s="44" t="s">
        <v>24</v>
      </c>
      <c r="L117" s="44" t="s">
        <v>25</v>
      </c>
      <c r="N117" s="17">
        <f t="shared" si="1"/>
        <v>0</v>
      </c>
    </row>
    <row r="118">
      <c r="A118" s="15" t="s">
        <v>26</v>
      </c>
      <c r="B118" s="16">
        <v>29.0</v>
      </c>
      <c r="C118" s="33">
        <v>56.0</v>
      </c>
      <c r="D118" s="16">
        <v>10.5</v>
      </c>
      <c r="E118" s="16">
        <v>16.5</v>
      </c>
      <c r="F118" s="16">
        <v>10.5</v>
      </c>
      <c r="G118" s="16">
        <v>13.6</v>
      </c>
      <c r="H118" s="16">
        <v>12.0</v>
      </c>
      <c r="I118" s="16">
        <v>9.4</v>
      </c>
      <c r="J118" s="16">
        <v>27.27</v>
      </c>
      <c r="K118" s="45">
        <v>29.0</v>
      </c>
      <c r="L118" s="45">
        <v>89.0</v>
      </c>
      <c r="N118" s="17">
        <f t="shared" si="1"/>
        <v>302.77</v>
      </c>
    </row>
    <row r="119">
      <c r="A119" s="15" t="s">
        <v>27</v>
      </c>
      <c r="B119" s="16">
        <v>15.0</v>
      </c>
      <c r="C119" s="33">
        <v>18.0</v>
      </c>
      <c r="D119" s="16">
        <v>5.0</v>
      </c>
      <c r="E119" s="16">
        <v>3.4</v>
      </c>
      <c r="F119" s="16">
        <v>15.9</v>
      </c>
      <c r="G119" s="33">
        <v>20.0</v>
      </c>
      <c r="H119" s="33">
        <v>9.0</v>
      </c>
      <c r="I119" s="16">
        <v>10.2</v>
      </c>
      <c r="J119" s="16">
        <v>12.4</v>
      </c>
      <c r="K119" s="45">
        <v>1.0</v>
      </c>
      <c r="L119" s="45">
        <v>0.0</v>
      </c>
      <c r="N119" s="17">
        <f t="shared" si="1"/>
        <v>109.9</v>
      </c>
    </row>
    <row r="120">
      <c r="A120" s="18" t="s">
        <v>28</v>
      </c>
      <c r="B120" s="18">
        <f t="shared" ref="B120:L120" si="21">SUM(B118:B119)</f>
        <v>44</v>
      </c>
      <c r="C120" s="46">
        <f t="shared" si="21"/>
        <v>74</v>
      </c>
      <c r="D120" s="18">
        <f t="shared" si="21"/>
        <v>15.5</v>
      </c>
      <c r="E120" s="18">
        <f t="shared" si="21"/>
        <v>19.9</v>
      </c>
      <c r="F120" s="18">
        <f t="shared" si="21"/>
        <v>26.4</v>
      </c>
      <c r="G120" s="18">
        <f t="shared" si="21"/>
        <v>33.6</v>
      </c>
      <c r="H120" s="18">
        <f t="shared" si="21"/>
        <v>21</v>
      </c>
      <c r="I120" s="18">
        <f t="shared" si="21"/>
        <v>19.6</v>
      </c>
      <c r="J120" s="18">
        <f t="shared" si="21"/>
        <v>39.67</v>
      </c>
      <c r="K120" s="47">
        <f t="shared" si="21"/>
        <v>30</v>
      </c>
      <c r="L120" s="47">
        <f t="shared" si="21"/>
        <v>89</v>
      </c>
      <c r="M120" s="20"/>
      <c r="N120" s="20">
        <f t="shared" si="1"/>
        <v>412.67</v>
      </c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K121" s="50"/>
      <c r="L121" s="50"/>
      <c r="N121" s="17">
        <f t="shared" si="1"/>
        <v>0</v>
      </c>
    </row>
    <row r="122">
      <c r="A122" s="11">
        <v>45799.0</v>
      </c>
      <c r="B122" s="12"/>
      <c r="C122" s="12"/>
      <c r="D122" s="12"/>
      <c r="E122" s="12"/>
      <c r="F122" s="12"/>
      <c r="G122" s="29"/>
      <c r="H122" s="29"/>
      <c r="I122" s="12"/>
      <c r="J122" s="12"/>
      <c r="K122" s="50"/>
      <c r="L122" s="50"/>
      <c r="N122" s="17">
        <f t="shared" si="1"/>
        <v>0</v>
      </c>
    </row>
    <row r="123">
      <c r="A123" s="13" t="s">
        <v>14</v>
      </c>
      <c r="B123" s="13" t="s">
        <v>15</v>
      </c>
      <c r="C123" s="13" t="s">
        <v>16</v>
      </c>
      <c r="D123" s="13" t="s">
        <v>17</v>
      </c>
      <c r="E123" s="13" t="s">
        <v>18</v>
      </c>
      <c r="F123" s="13" t="s">
        <v>19</v>
      </c>
      <c r="G123" s="30" t="s">
        <v>20</v>
      </c>
      <c r="H123" s="30" t="s">
        <v>21</v>
      </c>
      <c r="I123" s="13" t="s">
        <v>22</v>
      </c>
      <c r="J123" s="13" t="s">
        <v>23</v>
      </c>
      <c r="K123" s="44" t="s">
        <v>24</v>
      </c>
      <c r="L123" s="44" t="s">
        <v>25</v>
      </c>
      <c r="N123" s="17">
        <f t="shared" si="1"/>
        <v>0</v>
      </c>
    </row>
    <row r="124">
      <c r="A124" s="15" t="s">
        <v>26</v>
      </c>
      <c r="B124" s="16">
        <v>21.0</v>
      </c>
      <c r="C124" s="16">
        <v>18.0</v>
      </c>
      <c r="D124" s="16">
        <v>10.5</v>
      </c>
      <c r="E124" s="16">
        <v>20.5</v>
      </c>
      <c r="F124" s="16">
        <v>16.5</v>
      </c>
      <c r="G124" s="33">
        <v>20.0</v>
      </c>
      <c r="H124" s="33">
        <v>15.0</v>
      </c>
      <c r="I124" s="16">
        <v>17.5</v>
      </c>
      <c r="J124" s="16">
        <v>19.5</v>
      </c>
      <c r="K124" s="45">
        <v>30.0</v>
      </c>
      <c r="L124" s="45">
        <v>87.0</v>
      </c>
      <c r="N124" s="17">
        <f t="shared" si="1"/>
        <v>275.5</v>
      </c>
    </row>
    <row r="125">
      <c r="A125" s="15" t="s">
        <v>27</v>
      </c>
      <c r="B125" s="16">
        <v>10.0</v>
      </c>
      <c r="C125" s="16">
        <v>24.0</v>
      </c>
      <c r="D125" s="16">
        <v>6.0</v>
      </c>
      <c r="E125" s="16">
        <v>0.0</v>
      </c>
      <c r="F125" s="16">
        <v>0.0</v>
      </c>
      <c r="G125" s="33">
        <v>25.0</v>
      </c>
      <c r="H125" s="33">
        <v>10.0</v>
      </c>
      <c r="I125" s="16">
        <v>0.0</v>
      </c>
      <c r="J125" s="16">
        <v>0.0</v>
      </c>
      <c r="K125" s="45">
        <v>1.0</v>
      </c>
      <c r="L125" s="45">
        <v>0.0</v>
      </c>
      <c r="N125" s="17">
        <f t="shared" si="1"/>
        <v>76</v>
      </c>
    </row>
    <row r="126">
      <c r="A126" s="18" t="s">
        <v>28</v>
      </c>
      <c r="B126" s="18">
        <f t="shared" ref="B126:L126" si="22">SUM(B124:B125)</f>
        <v>31</v>
      </c>
      <c r="C126" s="18">
        <f t="shared" si="22"/>
        <v>42</v>
      </c>
      <c r="D126" s="18">
        <f t="shared" si="22"/>
        <v>16.5</v>
      </c>
      <c r="E126" s="18">
        <f t="shared" si="22"/>
        <v>20.5</v>
      </c>
      <c r="F126" s="18">
        <f t="shared" si="22"/>
        <v>16.5</v>
      </c>
      <c r="G126" s="18">
        <f t="shared" si="22"/>
        <v>45</v>
      </c>
      <c r="H126" s="18">
        <f t="shared" si="22"/>
        <v>25</v>
      </c>
      <c r="I126" s="18">
        <f t="shared" si="22"/>
        <v>17.5</v>
      </c>
      <c r="J126" s="18">
        <f t="shared" si="22"/>
        <v>19.5</v>
      </c>
      <c r="K126" s="47">
        <f t="shared" si="22"/>
        <v>31</v>
      </c>
      <c r="L126" s="47">
        <f t="shared" si="22"/>
        <v>87</v>
      </c>
      <c r="M126" s="20"/>
      <c r="N126" s="20">
        <f t="shared" si="1"/>
        <v>351.5</v>
      </c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K127" s="50"/>
      <c r="L127" s="50"/>
      <c r="N127" s="17">
        <f t="shared" si="1"/>
        <v>0</v>
      </c>
    </row>
    <row r="128">
      <c r="A128" s="11">
        <v>45800.0</v>
      </c>
      <c r="B128" s="12"/>
      <c r="C128" s="12"/>
      <c r="D128" s="12"/>
      <c r="E128" s="12"/>
      <c r="F128" s="12"/>
      <c r="G128" s="29"/>
      <c r="H128" s="29"/>
      <c r="I128" s="12"/>
      <c r="J128" s="12"/>
      <c r="K128" s="50"/>
      <c r="L128" s="50"/>
      <c r="N128" s="17">
        <f t="shared" si="1"/>
        <v>0</v>
      </c>
    </row>
    <row r="129">
      <c r="A129" s="13" t="s">
        <v>14</v>
      </c>
      <c r="B129" s="13" t="s">
        <v>15</v>
      </c>
      <c r="C129" s="13" t="s">
        <v>16</v>
      </c>
      <c r="D129" s="13" t="s">
        <v>17</v>
      </c>
      <c r="E129" s="13" t="s">
        <v>18</v>
      </c>
      <c r="F129" s="13" t="s">
        <v>19</v>
      </c>
      <c r="G129" s="30" t="s">
        <v>20</v>
      </c>
      <c r="H129" s="30" t="s">
        <v>21</v>
      </c>
      <c r="I129" s="13" t="s">
        <v>22</v>
      </c>
      <c r="J129" s="13" t="s">
        <v>23</v>
      </c>
      <c r="K129" s="44" t="s">
        <v>24</v>
      </c>
      <c r="L129" s="44" t="s">
        <v>25</v>
      </c>
      <c r="N129" s="17">
        <f t="shared" si="1"/>
        <v>0</v>
      </c>
    </row>
    <row r="130">
      <c r="A130" s="15" t="s">
        <v>26</v>
      </c>
      <c r="B130" s="16">
        <v>28.0</v>
      </c>
      <c r="C130" s="16">
        <v>21.0</v>
      </c>
      <c r="D130" s="16">
        <v>19.6</v>
      </c>
      <c r="E130" s="16">
        <v>18.9</v>
      </c>
      <c r="F130" s="16">
        <v>19.5</v>
      </c>
      <c r="G130" s="33">
        <v>16.0</v>
      </c>
      <c r="H130" s="33">
        <v>17.0</v>
      </c>
      <c r="I130" s="16">
        <v>16.5</v>
      </c>
      <c r="J130" s="16">
        <v>17.9</v>
      </c>
      <c r="K130" s="45">
        <v>26.0</v>
      </c>
      <c r="L130" s="45">
        <v>88.0</v>
      </c>
      <c r="N130" s="17">
        <f t="shared" si="1"/>
        <v>288.4</v>
      </c>
    </row>
    <row r="131">
      <c r="A131" s="15" t="s">
        <v>27</v>
      </c>
      <c r="B131" s="16">
        <v>12.0</v>
      </c>
      <c r="C131" s="16">
        <v>23.0</v>
      </c>
      <c r="D131" s="16">
        <v>9.0</v>
      </c>
      <c r="E131" s="16">
        <v>0.0</v>
      </c>
      <c r="F131" s="16">
        <v>0.0</v>
      </c>
      <c r="G131" s="33">
        <v>10.0</v>
      </c>
      <c r="H131" s="33">
        <v>5.0</v>
      </c>
      <c r="I131" s="16">
        <v>0.0</v>
      </c>
      <c r="J131" s="16">
        <v>0.0</v>
      </c>
      <c r="K131" s="45">
        <v>1.0</v>
      </c>
      <c r="L131" s="45">
        <v>0.0</v>
      </c>
      <c r="N131" s="17">
        <f t="shared" si="1"/>
        <v>60</v>
      </c>
    </row>
    <row r="132">
      <c r="A132" s="18" t="s">
        <v>28</v>
      </c>
      <c r="B132" s="18">
        <f t="shared" ref="B132:L132" si="23">SUM(B130:B131)</f>
        <v>40</v>
      </c>
      <c r="C132" s="18">
        <f t="shared" si="23"/>
        <v>44</v>
      </c>
      <c r="D132" s="18">
        <f t="shared" si="23"/>
        <v>28.6</v>
      </c>
      <c r="E132" s="18">
        <f t="shared" si="23"/>
        <v>18.9</v>
      </c>
      <c r="F132" s="18">
        <f t="shared" si="23"/>
        <v>19.5</v>
      </c>
      <c r="G132" s="18">
        <f t="shared" si="23"/>
        <v>26</v>
      </c>
      <c r="H132" s="18">
        <f t="shared" si="23"/>
        <v>22</v>
      </c>
      <c r="I132" s="18">
        <f t="shared" si="23"/>
        <v>16.5</v>
      </c>
      <c r="J132" s="18">
        <f t="shared" si="23"/>
        <v>17.9</v>
      </c>
      <c r="K132" s="47">
        <f t="shared" si="23"/>
        <v>27</v>
      </c>
      <c r="L132" s="47">
        <f t="shared" si="23"/>
        <v>88</v>
      </c>
      <c r="M132" s="20"/>
      <c r="N132" s="20">
        <f t="shared" si="1"/>
        <v>348.4</v>
      </c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K133" s="50"/>
      <c r="L133" s="50"/>
      <c r="N133" s="17">
        <f t="shared" si="1"/>
        <v>0</v>
      </c>
    </row>
    <row r="134">
      <c r="A134" s="11">
        <v>45801.0</v>
      </c>
      <c r="B134" s="12"/>
      <c r="C134" s="12"/>
      <c r="D134" s="12"/>
      <c r="E134" s="12"/>
      <c r="F134" s="12"/>
      <c r="G134" s="29"/>
      <c r="H134" s="29"/>
      <c r="I134" s="12"/>
      <c r="J134" s="12"/>
      <c r="K134" s="50"/>
      <c r="L134" s="50"/>
      <c r="N134" s="17">
        <f t="shared" si="1"/>
        <v>0</v>
      </c>
    </row>
    <row r="135">
      <c r="A135" s="13" t="s">
        <v>14</v>
      </c>
      <c r="B135" s="13" t="s">
        <v>15</v>
      </c>
      <c r="C135" s="13" t="s">
        <v>16</v>
      </c>
      <c r="D135" s="13" t="s">
        <v>17</v>
      </c>
      <c r="E135" s="13" t="s">
        <v>18</v>
      </c>
      <c r="F135" s="13" t="s">
        <v>19</v>
      </c>
      <c r="G135" s="30" t="s">
        <v>20</v>
      </c>
      <c r="H135" s="30" t="s">
        <v>21</v>
      </c>
      <c r="I135" s="13" t="s">
        <v>22</v>
      </c>
      <c r="J135" s="13" t="s">
        <v>23</v>
      </c>
      <c r="K135" s="44" t="s">
        <v>24</v>
      </c>
      <c r="L135" s="44" t="s">
        <v>25</v>
      </c>
      <c r="N135" s="17">
        <f t="shared" si="1"/>
        <v>0</v>
      </c>
    </row>
    <row r="136">
      <c r="A136" s="15" t="s">
        <v>26</v>
      </c>
      <c r="B136" s="16">
        <v>16.0</v>
      </c>
      <c r="C136" s="16">
        <v>40.0</v>
      </c>
      <c r="D136" s="16">
        <v>0.0</v>
      </c>
      <c r="E136" s="16">
        <v>13.5</v>
      </c>
      <c r="F136" s="16">
        <v>18.9</v>
      </c>
      <c r="G136" s="33">
        <v>16.0</v>
      </c>
      <c r="H136" s="33">
        <v>20.0</v>
      </c>
      <c r="I136" s="16">
        <v>15.6</v>
      </c>
      <c r="J136" s="16">
        <v>16.8</v>
      </c>
      <c r="K136" s="45">
        <v>29.0</v>
      </c>
      <c r="L136" s="60">
        <v>70.0</v>
      </c>
      <c r="N136" s="17">
        <f t="shared" si="1"/>
        <v>255.8</v>
      </c>
    </row>
    <row r="137">
      <c r="A137" s="15" t="s">
        <v>27</v>
      </c>
      <c r="B137" s="16">
        <v>8.0</v>
      </c>
      <c r="C137" s="16">
        <v>23.0</v>
      </c>
      <c r="D137" s="16">
        <v>0.0</v>
      </c>
      <c r="E137" s="16">
        <v>26.0</v>
      </c>
      <c r="F137" s="16">
        <v>30.0</v>
      </c>
      <c r="G137" s="33">
        <v>25.0</v>
      </c>
      <c r="H137" s="33">
        <v>8.0</v>
      </c>
      <c r="I137" s="16">
        <v>39.0</v>
      </c>
      <c r="J137" s="16">
        <v>40.0</v>
      </c>
      <c r="K137" s="45">
        <v>1.0</v>
      </c>
      <c r="L137" s="60">
        <v>1.0</v>
      </c>
      <c r="N137" s="17">
        <f t="shared" si="1"/>
        <v>201</v>
      </c>
    </row>
    <row r="138">
      <c r="A138" s="18" t="s">
        <v>28</v>
      </c>
      <c r="B138" s="18">
        <f t="shared" ref="B138:L138" si="24">SUM(B136:B137)</f>
        <v>24</v>
      </c>
      <c r="C138" s="18">
        <f t="shared" si="24"/>
        <v>63</v>
      </c>
      <c r="D138" s="18">
        <f t="shared" si="24"/>
        <v>0</v>
      </c>
      <c r="E138" s="18">
        <f t="shared" si="24"/>
        <v>39.5</v>
      </c>
      <c r="F138" s="18">
        <f t="shared" si="24"/>
        <v>48.9</v>
      </c>
      <c r="G138" s="18">
        <f t="shared" si="24"/>
        <v>41</v>
      </c>
      <c r="H138" s="18">
        <f t="shared" si="24"/>
        <v>28</v>
      </c>
      <c r="I138" s="18">
        <f t="shared" si="24"/>
        <v>54.6</v>
      </c>
      <c r="J138" s="18">
        <f t="shared" si="24"/>
        <v>56.8</v>
      </c>
      <c r="K138" s="47">
        <f t="shared" si="24"/>
        <v>30</v>
      </c>
      <c r="L138" s="47">
        <f t="shared" si="24"/>
        <v>71</v>
      </c>
      <c r="M138" s="20"/>
      <c r="N138" s="20">
        <f t="shared" si="1"/>
        <v>456.8</v>
      </c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N139" s="17">
        <f t="shared" si="1"/>
        <v>0</v>
      </c>
    </row>
    <row r="140">
      <c r="A140" s="11">
        <v>45802.0</v>
      </c>
      <c r="B140" s="12"/>
      <c r="C140" s="12"/>
      <c r="D140" s="12"/>
      <c r="E140" s="12"/>
      <c r="F140" s="12"/>
      <c r="G140" s="29"/>
      <c r="H140" s="29"/>
      <c r="I140" s="12"/>
      <c r="J140" s="12"/>
      <c r="K140" s="29"/>
      <c r="L140" s="29"/>
      <c r="N140" s="17">
        <f t="shared" si="1"/>
        <v>0</v>
      </c>
    </row>
    <row r="141">
      <c r="A141" s="13" t="s">
        <v>14</v>
      </c>
      <c r="B141" s="13" t="s">
        <v>15</v>
      </c>
      <c r="C141" s="13" t="s">
        <v>16</v>
      </c>
      <c r="D141" s="13" t="s">
        <v>17</v>
      </c>
      <c r="E141" s="13" t="s">
        <v>18</v>
      </c>
      <c r="F141" s="13" t="s">
        <v>19</v>
      </c>
      <c r="G141" s="30" t="s">
        <v>20</v>
      </c>
      <c r="H141" s="30" t="s">
        <v>21</v>
      </c>
      <c r="I141" s="13" t="s">
        <v>22</v>
      </c>
      <c r="J141" s="13" t="s">
        <v>23</v>
      </c>
      <c r="K141" s="44" t="s">
        <v>24</v>
      </c>
      <c r="L141" s="44" t="s">
        <v>25</v>
      </c>
      <c r="N141" s="17">
        <f t="shared" si="1"/>
        <v>0</v>
      </c>
    </row>
    <row r="142">
      <c r="A142" s="15" t="s">
        <v>26</v>
      </c>
      <c r="B142" s="16">
        <v>16.0</v>
      </c>
      <c r="C142" s="16">
        <v>40.0</v>
      </c>
      <c r="D142" s="16">
        <v>23.0</v>
      </c>
      <c r="E142" s="16">
        <v>16.5</v>
      </c>
      <c r="F142" s="16">
        <v>17.9</v>
      </c>
      <c r="G142" s="32">
        <v>18.3</v>
      </c>
      <c r="H142" s="33">
        <v>17.5</v>
      </c>
      <c r="I142" s="16">
        <v>20.8</v>
      </c>
      <c r="J142" s="16">
        <v>19.5</v>
      </c>
      <c r="K142" s="45">
        <v>30.0</v>
      </c>
      <c r="L142" s="45">
        <v>87.0</v>
      </c>
      <c r="N142" s="17">
        <f t="shared" si="1"/>
        <v>306.5</v>
      </c>
    </row>
    <row r="143">
      <c r="A143" s="15" t="s">
        <v>27</v>
      </c>
      <c r="B143" s="16">
        <v>5.0</v>
      </c>
      <c r="C143" s="16">
        <v>36.0</v>
      </c>
      <c r="D143" s="16">
        <v>15.0</v>
      </c>
      <c r="E143" s="16">
        <v>16.9</v>
      </c>
      <c r="F143" s="16">
        <v>19.8</v>
      </c>
      <c r="G143" s="33">
        <v>20.0</v>
      </c>
      <c r="H143" s="33">
        <v>10.0</v>
      </c>
      <c r="I143" s="16">
        <v>20.5</v>
      </c>
      <c r="J143" s="16">
        <v>24.5</v>
      </c>
      <c r="K143" s="45">
        <v>1.0</v>
      </c>
      <c r="L143" s="45">
        <v>0.0</v>
      </c>
      <c r="N143" s="17">
        <f t="shared" si="1"/>
        <v>168.7</v>
      </c>
    </row>
    <row r="144">
      <c r="A144" s="18" t="s">
        <v>28</v>
      </c>
      <c r="B144" s="18">
        <f t="shared" ref="B144:L144" si="25">SUM(B142:B143)</f>
        <v>21</v>
      </c>
      <c r="C144" s="18">
        <f t="shared" si="25"/>
        <v>76</v>
      </c>
      <c r="D144" s="18">
        <f t="shared" si="25"/>
        <v>38</v>
      </c>
      <c r="E144" s="18">
        <f t="shared" si="25"/>
        <v>33.4</v>
      </c>
      <c r="F144" s="18">
        <f t="shared" si="25"/>
        <v>37.7</v>
      </c>
      <c r="G144" s="18">
        <f t="shared" si="25"/>
        <v>38.3</v>
      </c>
      <c r="H144" s="18">
        <f t="shared" si="25"/>
        <v>27.5</v>
      </c>
      <c r="I144" s="18">
        <f t="shared" si="25"/>
        <v>41.3</v>
      </c>
      <c r="J144" s="18">
        <f t="shared" si="25"/>
        <v>44</v>
      </c>
      <c r="K144" s="47">
        <f t="shared" si="25"/>
        <v>31</v>
      </c>
      <c r="L144" s="47">
        <f t="shared" si="25"/>
        <v>87</v>
      </c>
      <c r="M144" s="20"/>
      <c r="N144" s="20">
        <f t="shared" si="1"/>
        <v>475.2</v>
      </c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K145" s="50"/>
      <c r="L145" s="50"/>
      <c r="N145" s="17">
        <f t="shared" si="1"/>
        <v>0</v>
      </c>
    </row>
    <row r="146">
      <c r="A146" s="11">
        <v>45803.0</v>
      </c>
      <c r="B146" s="12"/>
      <c r="C146" s="12"/>
      <c r="D146" s="12"/>
      <c r="E146" s="12"/>
      <c r="F146" s="12"/>
      <c r="G146" s="29"/>
      <c r="H146" s="29"/>
      <c r="I146" s="12"/>
      <c r="J146" s="12"/>
      <c r="K146" s="50"/>
      <c r="L146" s="50"/>
      <c r="N146" s="17">
        <f t="shared" si="1"/>
        <v>0</v>
      </c>
    </row>
    <row r="147">
      <c r="A147" s="13" t="s">
        <v>14</v>
      </c>
      <c r="B147" s="13" t="s">
        <v>15</v>
      </c>
      <c r="C147" s="30" t="s">
        <v>30</v>
      </c>
      <c r="D147" s="13" t="s">
        <v>17</v>
      </c>
      <c r="E147" s="13" t="s">
        <v>18</v>
      </c>
      <c r="F147" s="13" t="s">
        <v>19</v>
      </c>
      <c r="G147" s="30" t="s">
        <v>20</v>
      </c>
      <c r="H147" s="30" t="s">
        <v>21</v>
      </c>
      <c r="I147" s="13" t="s">
        <v>22</v>
      </c>
      <c r="J147" s="13" t="s">
        <v>23</v>
      </c>
      <c r="K147" s="44" t="s">
        <v>24</v>
      </c>
      <c r="L147" s="44" t="s">
        <v>25</v>
      </c>
      <c r="N147" s="17">
        <f t="shared" si="1"/>
        <v>0</v>
      </c>
    </row>
    <row r="148">
      <c r="A148" s="15" t="s">
        <v>26</v>
      </c>
      <c r="B148" s="16">
        <v>26.0</v>
      </c>
      <c r="C148" s="33">
        <v>40.0</v>
      </c>
      <c r="D148" s="16">
        <v>0.0</v>
      </c>
      <c r="E148" s="16">
        <v>20.6</v>
      </c>
      <c r="F148" s="16">
        <v>16.5</v>
      </c>
      <c r="G148" s="33">
        <v>22.0</v>
      </c>
      <c r="H148" s="33">
        <v>10.0</v>
      </c>
      <c r="I148" s="16">
        <v>19.5</v>
      </c>
      <c r="J148" s="16">
        <v>20.5</v>
      </c>
      <c r="K148" s="45">
        <v>26.0</v>
      </c>
      <c r="L148" s="45">
        <v>88.0</v>
      </c>
      <c r="N148" s="17">
        <f t="shared" si="1"/>
        <v>289.1</v>
      </c>
    </row>
    <row r="149">
      <c r="A149" s="15" t="s">
        <v>27</v>
      </c>
      <c r="B149" s="16">
        <v>13.0</v>
      </c>
      <c r="C149" s="33">
        <v>22.0</v>
      </c>
      <c r="D149" s="16">
        <v>0.0</v>
      </c>
      <c r="E149" s="16">
        <v>0.0</v>
      </c>
      <c r="F149" s="16">
        <v>0.0</v>
      </c>
      <c r="G149" s="33">
        <v>10.0</v>
      </c>
      <c r="H149" s="33">
        <v>20.0</v>
      </c>
      <c r="I149" s="16">
        <v>0.0</v>
      </c>
      <c r="J149" s="16">
        <v>0.0</v>
      </c>
      <c r="K149" s="45">
        <v>1.0</v>
      </c>
      <c r="L149" s="45">
        <v>0.0</v>
      </c>
      <c r="N149" s="17">
        <f t="shared" si="1"/>
        <v>66</v>
      </c>
    </row>
    <row r="150">
      <c r="A150" s="18" t="s">
        <v>28</v>
      </c>
      <c r="B150" s="18">
        <f t="shared" ref="B150:L150" si="26">SUM(B148:B149)</f>
        <v>39</v>
      </c>
      <c r="C150" s="46">
        <f t="shared" si="26"/>
        <v>62</v>
      </c>
      <c r="D150" s="18">
        <f t="shared" si="26"/>
        <v>0</v>
      </c>
      <c r="E150" s="18">
        <f t="shared" si="26"/>
        <v>20.6</v>
      </c>
      <c r="F150" s="18">
        <f t="shared" si="26"/>
        <v>16.5</v>
      </c>
      <c r="G150" s="18">
        <f t="shared" si="26"/>
        <v>32</v>
      </c>
      <c r="H150" s="18">
        <f t="shared" si="26"/>
        <v>30</v>
      </c>
      <c r="I150" s="18">
        <f t="shared" si="26"/>
        <v>19.5</v>
      </c>
      <c r="J150" s="18">
        <f t="shared" si="26"/>
        <v>20.5</v>
      </c>
      <c r="K150" s="47">
        <f t="shared" si="26"/>
        <v>27</v>
      </c>
      <c r="L150" s="47">
        <f t="shared" si="26"/>
        <v>88</v>
      </c>
      <c r="M150" s="20"/>
      <c r="N150" s="20">
        <f t="shared" si="1"/>
        <v>355.1</v>
      </c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C151" s="29"/>
      <c r="K151" s="50"/>
      <c r="L151" s="50"/>
      <c r="N151" s="17">
        <f t="shared" si="1"/>
        <v>0</v>
      </c>
    </row>
    <row r="152">
      <c r="A152" s="11">
        <v>45804.0</v>
      </c>
      <c r="B152" s="12"/>
      <c r="C152" s="29"/>
      <c r="D152" s="12"/>
      <c r="E152" s="12"/>
      <c r="F152" s="12"/>
      <c r="G152" s="29"/>
      <c r="H152" s="29"/>
      <c r="I152" s="12"/>
      <c r="J152" s="12"/>
      <c r="K152" s="50"/>
      <c r="L152" s="50"/>
      <c r="N152" s="17">
        <f t="shared" si="1"/>
        <v>0</v>
      </c>
    </row>
    <row r="153">
      <c r="A153" s="13" t="s">
        <v>14</v>
      </c>
      <c r="B153" s="13" t="s">
        <v>15</v>
      </c>
      <c r="C153" s="30" t="s">
        <v>30</v>
      </c>
      <c r="D153" s="13" t="s">
        <v>17</v>
      </c>
      <c r="E153" s="13" t="s">
        <v>18</v>
      </c>
      <c r="F153" s="13" t="s">
        <v>19</v>
      </c>
      <c r="G153" s="30" t="s">
        <v>20</v>
      </c>
      <c r="H153" s="30" t="s">
        <v>21</v>
      </c>
      <c r="I153" s="13" t="s">
        <v>22</v>
      </c>
      <c r="J153" s="13" t="s">
        <v>23</v>
      </c>
      <c r="K153" s="44" t="s">
        <v>24</v>
      </c>
      <c r="L153" s="44" t="s">
        <v>25</v>
      </c>
      <c r="N153" s="17">
        <f t="shared" si="1"/>
        <v>0</v>
      </c>
    </row>
    <row r="154">
      <c r="A154" s="15" t="s">
        <v>26</v>
      </c>
      <c r="B154" s="16">
        <v>20.0</v>
      </c>
      <c r="C154" s="33">
        <v>45.0</v>
      </c>
      <c r="D154" s="16">
        <v>17.0</v>
      </c>
      <c r="E154" s="16">
        <v>17.5</v>
      </c>
      <c r="F154" s="16">
        <v>16.5</v>
      </c>
      <c r="G154" s="33">
        <v>10.0</v>
      </c>
      <c r="H154" s="33">
        <v>25.0</v>
      </c>
      <c r="I154" s="16">
        <v>18.9</v>
      </c>
      <c r="J154" s="16">
        <v>21.5</v>
      </c>
      <c r="K154" s="45">
        <v>29.0</v>
      </c>
      <c r="L154" s="60">
        <v>70.0</v>
      </c>
      <c r="N154" s="17">
        <f t="shared" si="1"/>
        <v>290.4</v>
      </c>
    </row>
    <row r="155">
      <c r="A155" s="15" t="s">
        <v>27</v>
      </c>
      <c r="B155" s="16">
        <v>8.0</v>
      </c>
      <c r="C155" s="33">
        <v>18.0</v>
      </c>
      <c r="D155" s="16">
        <v>7.0</v>
      </c>
      <c r="E155" s="16">
        <v>0.0</v>
      </c>
      <c r="F155" s="16">
        <v>0.0</v>
      </c>
      <c r="G155" s="33">
        <v>30.0</v>
      </c>
      <c r="H155" s="33">
        <v>8.0</v>
      </c>
      <c r="I155" s="16">
        <v>0.0</v>
      </c>
      <c r="J155" s="16">
        <v>0.0</v>
      </c>
      <c r="K155" s="45">
        <v>1.0</v>
      </c>
      <c r="L155" s="60">
        <v>1.0</v>
      </c>
      <c r="N155" s="17">
        <f t="shared" si="1"/>
        <v>73</v>
      </c>
    </row>
    <row r="156">
      <c r="A156" s="18" t="s">
        <v>28</v>
      </c>
      <c r="B156" s="18">
        <f t="shared" ref="B156:L156" si="27">SUM(B154:B155)</f>
        <v>28</v>
      </c>
      <c r="C156" s="46">
        <f t="shared" si="27"/>
        <v>63</v>
      </c>
      <c r="D156" s="18">
        <f t="shared" si="27"/>
        <v>24</v>
      </c>
      <c r="E156" s="18">
        <f t="shared" si="27"/>
        <v>17.5</v>
      </c>
      <c r="F156" s="18">
        <f t="shared" si="27"/>
        <v>16.5</v>
      </c>
      <c r="G156" s="18">
        <f t="shared" si="27"/>
        <v>40</v>
      </c>
      <c r="H156" s="18">
        <f t="shared" si="27"/>
        <v>33</v>
      </c>
      <c r="I156" s="18">
        <f t="shared" si="27"/>
        <v>18.9</v>
      </c>
      <c r="J156" s="18">
        <f t="shared" si="27"/>
        <v>21.5</v>
      </c>
      <c r="K156" s="47">
        <f t="shared" si="27"/>
        <v>30</v>
      </c>
      <c r="L156" s="47">
        <f t="shared" si="27"/>
        <v>71</v>
      </c>
      <c r="M156" s="20"/>
      <c r="N156" s="20">
        <f t="shared" si="1"/>
        <v>363.4</v>
      </c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K157" s="12"/>
      <c r="L157" s="12"/>
      <c r="N157" s="17">
        <f t="shared" si="1"/>
        <v>0</v>
      </c>
    </row>
    <row r="158">
      <c r="A158" s="11">
        <v>45805.0</v>
      </c>
      <c r="B158" s="12"/>
      <c r="C158" s="29"/>
      <c r="D158" s="12"/>
      <c r="E158" s="12"/>
      <c r="F158" s="12"/>
      <c r="G158" s="29"/>
      <c r="H158" s="29"/>
      <c r="I158" s="12"/>
      <c r="J158" s="12"/>
      <c r="K158" s="29"/>
      <c r="L158" s="29"/>
      <c r="N158" s="17">
        <f t="shared" si="1"/>
        <v>0</v>
      </c>
    </row>
    <row r="159">
      <c r="A159" s="13" t="s">
        <v>14</v>
      </c>
      <c r="B159" s="13" t="s">
        <v>15</v>
      </c>
      <c r="C159" s="30" t="s">
        <v>30</v>
      </c>
      <c r="D159" s="13" t="s">
        <v>17</v>
      </c>
      <c r="E159" s="13" t="s">
        <v>18</v>
      </c>
      <c r="F159" s="13" t="s">
        <v>19</v>
      </c>
      <c r="G159" s="30" t="s">
        <v>20</v>
      </c>
      <c r="H159" s="30" t="s">
        <v>21</v>
      </c>
      <c r="I159" s="13" t="s">
        <v>22</v>
      </c>
      <c r="J159" s="13" t="s">
        <v>23</v>
      </c>
      <c r="K159" s="44" t="s">
        <v>24</v>
      </c>
      <c r="L159" s="44" t="s">
        <v>25</v>
      </c>
      <c r="N159" s="17">
        <f t="shared" si="1"/>
        <v>0</v>
      </c>
    </row>
    <row r="160">
      <c r="A160" s="15" t="s">
        <v>26</v>
      </c>
      <c r="B160" s="16">
        <v>21.0</v>
      </c>
      <c r="C160" s="33">
        <v>56.0</v>
      </c>
      <c r="D160" s="16">
        <v>0.0</v>
      </c>
      <c r="E160" s="16">
        <v>20.5</v>
      </c>
      <c r="F160" s="16">
        <v>26.8</v>
      </c>
      <c r="G160" s="33">
        <v>8.0</v>
      </c>
      <c r="H160" s="33">
        <v>15.0</v>
      </c>
      <c r="I160" s="16">
        <v>24.5</v>
      </c>
      <c r="J160" s="16">
        <v>30.9</v>
      </c>
      <c r="K160" s="45">
        <v>30.0</v>
      </c>
      <c r="L160" s="45">
        <v>87.0</v>
      </c>
      <c r="N160" s="17">
        <f t="shared" si="1"/>
        <v>319.7</v>
      </c>
    </row>
    <row r="161">
      <c r="A161" s="15" t="s">
        <v>27</v>
      </c>
      <c r="B161" s="16">
        <v>10.0</v>
      </c>
      <c r="C161" s="33">
        <v>18.0</v>
      </c>
      <c r="D161" s="16">
        <v>0.0</v>
      </c>
      <c r="E161" s="16">
        <v>30.7</v>
      </c>
      <c r="F161" s="16">
        <v>30.4</v>
      </c>
      <c r="G161" s="33">
        <v>10.0</v>
      </c>
      <c r="H161" s="33">
        <v>8.0</v>
      </c>
      <c r="I161" s="16">
        <v>30.5</v>
      </c>
      <c r="J161" s="16">
        <v>20.0</v>
      </c>
      <c r="K161" s="45">
        <v>1.0</v>
      </c>
      <c r="L161" s="45">
        <v>0.0</v>
      </c>
      <c r="N161" s="17">
        <f t="shared" si="1"/>
        <v>158.6</v>
      </c>
    </row>
    <row r="162">
      <c r="A162" s="18" t="s">
        <v>28</v>
      </c>
      <c r="B162" s="18">
        <f t="shared" ref="B162:L162" si="28">SUM(B160:B161)</f>
        <v>31</v>
      </c>
      <c r="C162" s="46">
        <f t="shared" si="28"/>
        <v>74</v>
      </c>
      <c r="D162" s="18">
        <f t="shared" si="28"/>
        <v>0</v>
      </c>
      <c r="E162" s="18">
        <f t="shared" si="28"/>
        <v>51.2</v>
      </c>
      <c r="F162" s="18">
        <f t="shared" si="28"/>
        <v>57.2</v>
      </c>
      <c r="G162" s="18">
        <f t="shared" si="28"/>
        <v>18</v>
      </c>
      <c r="H162" s="18">
        <f t="shared" si="28"/>
        <v>23</v>
      </c>
      <c r="I162" s="18">
        <f t="shared" si="28"/>
        <v>55</v>
      </c>
      <c r="J162" s="18">
        <f t="shared" si="28"/>
        <v>50.9</v>
      </c>
      <c r="K162" s="47">
        <f t="shared" si="28"/>
        <v>31</v>
      </c>
      <c r="L162" s="47">
        <f t="shared" si="28"/>
        <v>87</v>
      </c>
      <c r="M162" s="20"/>
      <c r="N162" s="20">
        <f t="shared" si="1"/>
        <v>478.3</v>
      </c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C163" s="12"/>
      <c r="K163" s="50"/>
      <c r="L163" s="50"/>
      <c r="N163" s="17">
        <f t="shared" si="1"/>
        <v>0</v>
      </c>
    </row>
    <row r="164">
      <c r="A164" s="11">
        <v>45806.0</v>
      </c>
      <c r="B164" s="12"/>
      <c r="C164" s="29"/>
      <c r="D164" s="12"/>
      <c r="E164" s="12"/>
      <c r="F164" s="12"/>
      <c r="G164" s="29"/>
      <c r="H164" s="29"/>
      <c r="I164" s="12"/>
      <c r="J164" s="12"/>
      <c r="K164" s="50"/>
      <c r="L164" s="50"/>
      <c r="N164" s="17">
        <f t="shared" si="1"/>
        <v>0</v>
      </c>
    </row>
    <row r="165">
      <c r="A165" s="13" t="s">
        <v>14</v>
      </c>
      <c r="B165" s="13" t="s">
        <v>15</v>
      </c>
      <c r="C165" s="30" t="s">
        <v>30</v>
      </c>
      <c r="D165" s="13" t="s">
        <v>17</v>
      </c>
      <c r="E165" s="13" t="s">
        <v>18</v>
      </c>
      <c r="F165" s="13" t="s">
        <v>19</v>
      </c>
      <c r="G165" s="30" t="s">
        <v>20</v>
      </c>
      <c r="H165" s="30" t="s">
        <v>21</v>
      </c>
      <c r="I165" s="13" t="s">
        <v>22</v>
      </c>
      <c r="J165" s="13" t="s">
        <v>23</v>
      </c>
      <c r="K165" s="44" t="s">
        <v>24</v>
      </c>
      <c r="L165" s="44" t="s">
        <v>25</v>
      </c>
      <c r="N165" s="17">
        <f t="shared" si="1"/>
        <v>0</v>
      </c>
    </row>
    <row r="166">
      <c r="A166" s="15" t="s">
        <v>26</v>
      </c>
      <c r="B166" s="16">
        <v>40.0</v>
      </c>
      <c r="C166" s="33">
        <v>21.1</v>
      </c>
      <c r="D166" s="16">
        <v>0.0</v>
      </c>
      <c r="E166" s="16">
        <v>17.5</v>
      </c>
      <c r="F166" s="16">
        <v>18.2</v>
      </c>
      <c r="G166" s="21">
        <v>20.0</v>
      </c>
      <c r="H166" s="21">
        <v>25.0</v>
      </c>
      <c r="I166" s="16">
        <v>19.5</v>
      </c>
      <c r="J166" s="16">
        <v>20.5</v>
      </c>
      <c r="K166" s="45">
        <v>26.0</v>
      </c>
      <c r="L166" s="45">
        <v>88.0</v>
      </c>
      <c r="N166" s="17">
        <f t="shared" si="1"/>
        <v>295.8</v>
      </c>
    </row>
    <row r="167">
      <c r="A167" s="15" t="s">
        <v>27</v>
      </c>
      <c r="B167" s="16">
        <v>13.0</v>
      </c>
      <c r="C167" s="33">
        <v>14.2</v>
      </c>
      <c r="D167" s="16">
        <v>0.0</v>
      </c>
      <c r="E167" s="16">
        <v>0.0</v>
      </c>
      <c r="F167" s="16">
        <v>0.0</v>
      </c>
      <c r="G167" s="33">
        <v>25.0</v>
      </c>
      <c r="H167" s="33">
        <v>10.0</v>
      </c>
      <c r="I167" s="16">
        <v>0.0</v>
      </c>
      <c r="J167" s="16">
        <v>0.0</v>
      </c>
      <c r="K167" s="45">
        <v>1.0</v>
      </c>
      <c r="L167" s="45">
        <v>0.0</v>
      </c>
      <c r="N167" s="17">
        <f t="shared" si="1"/>
        <v>63.2</v>
      </c>
    </row>
    <row r="168">
      <c r="A168" s="18" t="s">
        <v>28</v>
      </c>
      <c r="B168" s="18">
        <f t="shared" ref="B168:L168" si="29">SUM(B166:B167)</f>
        <v>53</v>
      </c>
      <c r="C168" s="46">
        <f t="shared" si="29"/>
        <v>35.3</v>
      </c>
      <c r="D168" s="18">
        <f t="shared" si="29"/>
        <v>0</v>
      </c>
      <c r="E168" s="18">
        <f t="shared" si="29"/>
        <v>17.5</v>
      </c>
      <c r="F168" s="18">
        <f t="shared" si="29"/>
        <v>18.2</v>
      </c>
      <c r="G168" s="18">
        <f t="shared" si="29"/>
        <v>45</v>
      </c>
      <c r="H168" s="18">
        <f t="shared" si="29"/>
        <v>35</v>
      </c>
      <c r="I168" s="18">
        <f t="shared" si="29"/>
        <v>19.5</v>
      </c>
      <c r="J168" s="18">
        <f t="shared" si="29"/>
        <v>20.5</v>
      </c>
      <c r="K168" s="47">
        <f t="shared" si="29"/>
        <v>27</v>
      </c>
      <c r="L168" s="47">
        <f t="shared" si="29"/>
        <v>88</v>
      </c>
      <c r="M168" s="20"/>
      <c r="N168" s="20">
        <f t="shared" si="1"/>
        <v>359</v>
      </c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K169" s="50"/>
      <c r="L169" s="50"/>
      <c r="N169" s="17">
        <f t="shared" si="1"/>
        <v>0</v>
      </c>
    </row>
    <row r="170">
      <c r="A170" s="11">
        <v>45807.0</v>
      </c>
      <c r="B170" s="12"/>
      <c r="C170" s="12"/>
      <c r="D170" s="12"/>
      <c r="E170" s="12"/>
      <c r="F170" s="12"/>
      <c r="G170" s="29"/>
      <c r="H170" s="29"/>
      <c r="I170" s="12"/>
      <c r="J170" s="12"/>
      <c r="K170" s="50"/>
      <c r="L170" s="50"/>
      <c r="N170" s="17">
        <f t="shared" si="1"/>
        <v>0</v>
      </c>
    </row>
    <row r="171">
      <c r="A171" s="13" t="s">
        <v>14</v>
      </c>
      <c r="B171" s="13" t="s">
        <v>15</v>
      </c>
      <c r="C171" s="30" t="s">
        <v>30</v>
      </c>
      <c r="D171" s="13" t="s">
        <v>17</v>
      </c>
      <c r="E171" s="13" t="s">
        <v>18</v>
      </c>
      <c r="F171" s="13" t="s">
        <v>19</v>
      </c>
      <c r="G171" s="30" t="s">
        <v>20</v>
      </c>
      <c r="H171" s="30" t="s">
        <v>21</v>
      </c>
      <c r="I171" s="13" t="s">
        <v>22</v>
      </c>
      <c r="J171" s="13" t="s">
        <v>23</v>
      </c>
      <c r="K171" s="44" t="s">
        <v>24</v>
      </c>
      <c r="L171" s="44" t="s">
        <v>25</v>
      </c>
      <c r="N171" s="17">
        <f t="shared" si="1"/>
        <v>0</v>
      </c>
    </row>
    <row r="172">
      <c r="A172" s="15" t="s">
        <v>26</v>
      </c>
      <c r="B172" s="16">
        <v>19.0</v>
      </c>
      <c r="C172" s="33">
        <v>56.0</v>
      </c>
      <c r="D172" s="16">
        <v>12.0</v>
      </c>
      <c r="E172" s="16">
        <v>16.5</v>
      </c>
      <c r="F172" s="16">
        <v>18.5</v>
      </c>
      <c r="G172" s="33">
        <v>25.0</v>
      </c>
      <c r="H172" s="21">
        <v>16.0</v>
      </c>
      <c r="I172" s="16">
        <v>16.5</v>
      </c>
      <c r="J172" s="16">
        <v>18.9</v>
      </c>
      <c r="K172" s="45">
        <v>29.0</v>
      </c>
      <c r="L172" s="60">
        <v>70.0</v>
      </c>
      <c r="N172" s="17">
        <f t="shared" si="1"/>
        <v>297.4</v>
      </c>
    </row>
    <row r="173">
      <c r="A173" s="15" t="s">
        <v>27</v>
      </c>
      <c r="B173" s="16">
        <v>15.0</v>
      </c>
      <c r="C173" s="33">
        <v>18.0</v>
      </c>
      <c r="D173" s="16">
        <v>20.0</v>
      </c>
      <c r="E173" s="16">
        <v>0.0</v>
      </c>
      <c r="F173" s="16">
        <v>0.0</v>
      </c>
      <c r="G173" s="33">
        <v>25.0</v>
      </c>
      <c r="H173" s="33">
        <v>8.0</v>
      </c>
      <c r="I173" s="16">
        <v>0.0</v>
      </c>
      <c r="J173" s="16">
        <v>0.0</v>
      </c>
      <c r="K173" s="45">
        <v>1.0</v>
      </c>
      <c r="L173" s="60">
        <v>1.0</v>
      </c>
      <c r="N173" s="17">
        <f t="shared" si="1"/>
        <v>88</v>
      </c>
    </row>
    <row r="174">
      <c r="A174" s="18" t="s">
        <v>28</v>
      </c>
      <c r="B174" s="18">
        <f t="shared" ref="B174:L174" si="30">SUM(B172:B173)</f>
        <v>34</v>
      </c>
      <c r="C174" s="46">
        <f t="shared" si="30"/>
        <v>74</v>
      </c>
      <c r="D174" s="18">
        <f t="shared" si="30"/>
        <v>32</v>
      </c>
      <c r="E174" s="18">
        <f t="shared" si="30"/>
        <v>16.5</v>
      </c>
      <c r="F174" s="18">
        <f t="shared" si="30"/>
        <v>18.5</v>
      </c>
      <c r="G174" s="18">
        <f t="shared" si="30"/>
        <v>50</v>
      </c>
      <c r="H174" s="18">
        <f t="shared" si="30"/>
        <v>24</v>
      </c>
      <c r="I174" s="18">
        <f t="shared" si="30"/>
        <v>16.5</v>
      </c>
      <c r="J174" s="18">
        <f t="shared" si="30"/>
        <v>18.9</v>
      </c>
      <c r="K174" s="47">
        <f t="shared" si="30"/>
        <v>30</v>
      </c>
      <c r="L174" s="47">
        <f t="shared" si="30"/>
        <v>71</v>
      </c>
      <c r="M174" s="20"/>
      <c r="N174" s="20">
        <f t="shared" si="1"/>
        <v>385.4</v>
      </c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N175" s="17">
        <f t="shared" si="1"/>
        <v>0</v>
      </c>
    </row>
    <row r="176">
      <c r="A176" s="11">
        <v>45808.0</v>
      </c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N176" s="17">
        <f t="shared" si="1"/>
        <v>0</v>
      </c>
    </row>
    <row r="177">
      <c r="A177" s="30" t="s">
        <v>14</v>
      </c>
      <c r="B177" s="30" t="s">
        <v>29</v>
      </c>
      <c r="C177" s="30" t="s">
        <v>30</v>
      </c>
      <c r="D177" s="30" t="s">
        <v>17</v>
      </c>
      <c r="E177" s="30" t="s">
        <v>31</v>
      </c>
      <c r="F177" s="30" t="s">
        <v>19</v>
      </c>
      <c r="G177" s="30" t="s">
        <v>20</v>
      </c>
      <c r="H177" s="30" t="s">
        <v>21</v>
      </c>
      <c r="I177" s="30" t="s">
        <v>22</v>
      </c>
      <c r="J177" s="30" t="s">
        <v>23</v>
      </c>
      <c r="K177" s="30" t="s">
        <v>24</v>
      </c>
      <c r="L177" s="30" t="s">
        <v>25</v>
      </c>
      <c r="N177" s="17">
        <f t="shared" si="1"/>
        <v>0</v>
      </c>
    </row>
    <row r="178">
      <c r="A178" s="31" t="s">
        <v>26</v>
      </c>
      <c r="B178" s="33">
        <v>20.0</v>
      </c>
      <c r="C178" s="33">
        <v>36.1</v>
      </c>
      <c r="D178" s="33">
        <v>0.0</v>
      </c>
      <c r="E178" s="33">
        <v>10.4</v>
      </c>
      <c r="F178" s="33">
        <v>19.3</v>
      </c>
      <c r="G178" s="33">
        <v>21.0</v>
      </c>
      <c r="H178" s="21">
        <v>20.0</v>
      </c>
      <c r="I178" s="33">
        <v>12.5</v>
      </c>
      <c r="J178" s="33">
        <v>20.8</v>
      </c>
      <c r="K178" s="33">
        <v>25.0</v>
      </c>
      <c r="L178" s="33">
        <v>74.0</v>
      </c>
      <c r="N178" s="17">
        <f t="shared" si="1"/>
        <v>259.1</v>
      </c>
    </row>
    <row r="179">
      <c r="A179" s="31" t="s">
        <v>27</v>
      </c>
      <c r="B179" s="33">
        <v>8.0</v>
      </c>
      <c r="C179" s="33">
        <v>21.2</v>
      </c>
      <c r="D179" s="33">
        <v>0.0</v>
      </c>
      <c r="E179" s="33">
        <v>30.0</v>
      </c>
      <c r="F179" s="33">
        <v>45.0</v>
      </c>
      <c r="G179" s="33">
        <v>25.0</v>
      </c>
      <c r="H179" s="33">
        <v>10.0</v>
      </c>
      <c r="I179" s="33">
        <v>25.0</v>
      </c>
      <c r="J179" s="33">
        <v>36.0</v>
      </c>
      <c r="K179" s="33">
        <v>1.0</v>
      </c>
      <c r="L179" s="33">
        <v>0.0</v>
      </c>
      <c r="N179" s="17">
        <f t="shared" si="1"/>
        <v>201.2</v>
      </c>
    </row>
    <row r="180">
      <c r="A180" s="34" t="s">
        <v>28</v>
      </c>
      <c r="B180" s="18">
        <f t="shared" ref="B180:L180" si="31">SUM(B178:B179)</f>
        <v>28</v>
      </c>
      <c r="C180" s="18">
        <f t="shared" si="31"/>
        <v>57.3</v>
      </c>
      <c r="D180" s="18">
        <f t="shared" si="31"/>
        <v>0</v>
      </c>
      <c r="E180" s="18">
        <f t="shared" si="31"/>
        <v>40.4</v>
      </c>
      <c r="F180" s="18">
        <f t="shared" si="31"/>
        <v>64.3</v>
      </c>
      <c r="G180" s="18">
        <f t="shared" si="31"/>
        <v>46</v>
      </c>
      <c r="H180" s="18">
        <f t="shared" si="31"/>
        <v>30</v>
      </c>
      <c r="I180" s="18">
        <f t="shared" si="31"/>
        <v>37.5</v>
      </c>
      <c r="J180" s="18">
        <f t="shared" si="31"/>
        <v>56.8</v>
      </c>
      <c r="K180" s="18">
        <f t="shared" si="31"/>
        <v>26</v>
      </c>
      <c r="L180" s="18">
        <f t="shared" si="31"/>
        <v>74</v>
      </c>
      <c r="M180" s="20"/>
      <c r="N180" s="20">
        <f t="shared" si="1"/>
        <v>460.3</v>
      </c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2">
      <c r="M182" s="38" t="s">
        <v>32</v>
      </c>
      <c r="N182" s="62">
        <f t="shared" ref="N182:N183" si="32">sum(N4+N10+N16+N22+N28+N34+N40+N46+N52+N58+N64+N70+N76+N82+N88+N94+N100+N106+N112+N118+N124+N130+N136+N142+N148+N154+N160+N166+N172+N178)</f>
        <v>8278.53</v>
      </c>
    </row>
    <row r="183">
      <c r="M183" s="39" t="s">
        <v>33</v>
      </c>
      <c r="N183" s="40">
        <f t="shared" si="32"/>
        <v>3569.79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3" max="13" width="15.0"/>
  </cols>
  <sheetData>
    <row r="2">
      <c r="A2" s="63">
        <v>45809.0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>
      <c r="A3" s="13" t="s">
        <v>14</v>
      </c>
      <c r="B3" s="13" t="s">
        <v>15</v>
      </c>
      <c r="C3" s="13" t="s">
        <v>16</v>
      </c>
      <c r="D3" s="13" t="s">
        <v>17</v>
      </c>
      <c r="E3" s="13" t="s">
        <v>18</v>
      </c>
      <c r="F3" s="13" t="s">
        <v>19</v>
      </c>
      <c r="G3" s="13" t="s">
        <v>20</v>
      </c>
      <c r="H3" s="13" t="s">
        <v>21</v>
      </c>
      <c r="I3" s="13" t="s">
        <v>22</v>
      </c>
      <c r="J3" s="13" t="s">
        <v>23</v>
      </c>
      <c r="K3" s="43" t="s">
        <v>24</v>
      </c>
      <c r="L3" s="44" t="s">
        <v>25</v>
      </c>
    </row>
    <row r="4">
      <c r="A4" s="15" t="s">
        <v>26</v>
      </c>
      <c r="B4" s="16">
        <v>27.0</v>
      </c>
      <c r="C4" s="16">
        <v>10.0</v>
      </c>
      <c r="D4" s="16">
        <v>16.0</v>
      </c>
      <c r="E4" s="16">
        <v>5.0</v>
      </c>
      <c r="F4" s="16">
        <v>8.0</v>
      </c>
      <c r="G4" s="16">
        <v>8.0</v>
      </c>
      <c r="H4" s="16">
        <v>16.0</v>
      </c>
      <c r="I4" s="16">
        <v>7.0</v>
      </c>
      <c r="J4" s="16">
        <v>4.0</v>
      </c>
      <c r="K4" s="45">
        <v>7.0</v>
      </c>
      <c r="L4" s="45">
        <v>89.0</v>
      </c>
      <c r="N4" s="17">
        <f t="shared" ref="N4:N174" si="1">sum(B4:L4)</f>
        <v>197</v>
      </c>
    </row>
    <row r="5">
      <c r="A5" s="15" t="s">
        <v>27</v>
      </c>
      <c r="B5" s="16">
        <v>4.0</v>
      </c>
      <c r="C5" s="16">
        <v>4.0</v>
      </c>
      <c r="D5" s="16">
        <v>6.0</v>
      </c>
      <c r="E5" s="16">
        <v>23.0</v>
      </c>
      <c r="F5" s="16">
        <v>18.0</v>
      </c>
      <c r="G5" s="16">
        <v>21.0</v>
      </c>
      <c r="H5" s="16">
        <v>6.0</v>
      </c>
      <c r="I5" s="16">
        <v>14.0</v>
      </c>
      <c r="J5" s="16">
        <v>12.0</v>
      </c>
      <c r="K5" s="45">
        <v>2.0</v>
      </c>
      <c r="L5" s="45">
        <v>2.0</v>
      </c>
      <c r="N5" s="17">
        <f t="shared" si="1"/>
        <v>112</v>
      </c>
    </row>
    <row r="6">
      <c r="A6" s="18" t="s">
        <v>28</v>
      </c>
      <c r="B6" s="18">
        <f t="shared" ref="B6:L6" si="2">SUM(B4:B5)</f>
        <v>31</v>
      </c>
      <c r="C6" s="18">
        <f t="shared" si="2"/>
        <v>14</v>
      </c>
      <c r="D6" s="18">
        <f t="shared" si="2"/>
        <v>22</v>
      </c>
      <c r="E6" s="18">
        <f t="shared" si="2"/>
        <v>28</v>
      </c>
      <c r="F6" s="18">
        <f t="shared" si="2"/>
        <v>26</v>
      </c>
      <c r="G6" s="18">
        <f t="shared" si="2"/>
        <v>29</v>
      </c>
      <c r="H6" s="18">
        <f t="shared" si="2"/>
        <v>22</v>
      </c>
      <c r="I6" s="18">
        <f t="shared" si="2"/>
        <v>21</v>
      </c>
      <c r="J6" s="18">
        <f t="shared" si="2"/>
        <v>16</v>
      </c>
      <c r="K6" s="47">
        <f t="shared" si="2"/>
        <v>9</v>
      </c>
      <c r="L6" s="47">
        <f t="shared" si="2"/>
        <v>91</v>
      </c>
      <c r="M6" s="20"/>
      <c r="N6" s="20">
        <f t="shared" si="1"/>
        <v>309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K7" s="50"/>
      <c r="L7" s="50"/>
      <c r="N7" s="17">
        <f t="shared" si="1"/>
        <v>0</v>
      </c>
    </row>
    <row r="8">
      <c r="A8" s="63">
        <v>45810.0</v>
      </c>
      <c r="B8" s="12"/>
      <c r="C8" s="12"/>
      <c r="D8" s="12"/>
      <c r="E8" s="12"/>
      <c r="F8" s="12"/>
      <c r="G8" s="12"/>
      <c r="H8" s="12"/>
      <c r="I8" s="12"/>
      <c r="J8" s="12"/>
      <c r="K8" s="50"/>
      <c r="L8" s="50"/>
      <c r="N8" s="17">
        <f t="shared" si="1"/>
        <v>0</v>
      </c>
    </row>
    <row r="9">
      <c r="A9" s="13" t="s">
        <v>14</v>
      </c>
      <c r="B9" s="13" t="s">
        <v>15</v>
      </c>
      <c r="C9" s="13" t="s">
        <v>16</v>
      </c>
      <c r="D9" s="13" t="s">
        <v>17</v>
      </c>
      <c r="E9" s="13" t="s">
        <v>18</v>
      </c>
      <c r="F9" s="13" t="s">
        <v>19</v>
      </c>
      <c r="G9" s="13" t="s">
        <v>20</v>
      </c>
      <c r="H9" s="13" t="s">
        <v>21</v>
      </c>
      <c r="I9" s="13" t="s">
        <v>22</v>
      </c>
      <c r="J9" s="13" t="s">
        <v>23</v>
      </c>
      <c r="K9" s="43" t="s">
        <v>24</v>
      </c>
      <c r="L9" s="44" t="s">
        <v>25</v>
      </c>
      <c r="N9" s="17">
        <f t="shared" si="1"/>
        <v>0</v>
      </c>
    </row>
    <row r="10">
      <c r="A10" s="15" t="s">
        <v>26</v>
      </c>
      <c r="B10" s="16">
        <v>18.0</v>
      </c>
      <c r="C10" s="16">
        <v>15.0</v>
      </c>
      <c r="D10" s="16">
        <v>19.0</v>
      </c>
      <c r="E10" s="16">
        <v>10.0</v>
      </c>
      <c r="F10" s="16">
        <v>20.0</v>
      </c>
      <c r="G10" s="16">
        <v>15.0</v>
      </c>
      <c r="H10" s="16">
        <v>14.0</v>
      </c>
      <c r="I10" s="16">
        <v>20.0</v>
      </c>
      <c r="J10" s="16">
        <v>4.2</v>
      </c>
      <c r="K10" s="45">
        <v>25.0</v>
      </c>
      <c r="L10" s="45">
        <v>90.0</v>
      </c>
      <c r="N10" s="17">
        <f t="shared" si="1"/>
        <v>250.2</v>
      </c>
    </row>
    <row r="11">
      <c r="A11" s="15" t="s">
        <v>27</v>
      </c>
      <c r="B11" s="16">
        <v>2.0</v>
      </c>
      <c r="C11" s="16">
        <v>10.36</v>
      </c>
      <c r="D11" s="16">
        <v>8.0</v>
      </c>
      <c r="E11" s="16">
        <v>11.44</v>
      </c>
      <c r="F11" s="16">
        <v>33.0</v>
      </c>
      <c r="G11" s="16">
        <v>10.0</v>
      </c>
      <c r="H11" s="16">
        <v>8.0</v>
      </c>
      <c r="I11" s="16">
        <v>7.4</v>
      </c>
      <c r="J11" s="16">
        <v>14.4</v>
      </c>
      <c r="K11" s="45">
        <v>2.0</v>
      </c>
      <c r="L11" s="45">
        <v>0.0</v>
      </c>
      <c r="N11" s="17">
        <f t="shared" si="1"/>
        <v>106.6</v>
      </c>
    </row>
    <row r="12">
      <c r="A12" s="18" t="s">
        <v>28</v>
      </c>
      <c r="B12" s="18">
        <f t="shared" ref="B12:L12" si="3">SUM(B10:B11)</f>
        <v>20</v>
      </c>
      <c r="C12" s="18">
        <f t="shared" si="3"/>
        <v>25.36</v>
      </c>
      <c r="D12" s="18">
        <f t="shared" si="3"/>
        <v>27</v>
      </c>
      <c r="E12" s="18">
        <f t="shared" si="3"/>
        <v>21.44</v>
      </c>
      <c r="F12" s="18">
        <f t="shared" si="3"/>
        <v>53</v>
      </c>
      <c r="G12" s="18">
        <f t="shared" si="3"/>
        <v>25</v>
      </c>
      <c r="H12" s="18">
        <f t="shared" si="3"/>
        <v>22</v>
      </c>
      <c r="I12" s="18">
        <f t="shared" si="3"/>
        <v>27.4</v>
      </c>
      <c r="J12" s="18">
        <f t="shared" si="3"/>
        <v>18.6</v>
      </c>
      <c r="K12" s="47">
        <f t="shared" si="3"/>
        <v>27</v>
      </c>
      <c r="L12" s="47">
        <f t="shared" si="3"/>
        <v>90</v>
      </c>
      <c r="M12" s="20"/>
      <c r="N12" s="20">
        <f t="shared" si="1"/>
        <v>356.8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K13" s="50"/>
      <c r="L13" s="50"/>
      <c r="N13" s="17">
        <f t="shared" si="1"/>
        <v>0</v>
      </c>
    </row>
    <row r="14">
      <c r="A14" s="63">
        <v>45811.0</v>
      </c>
      <c r="B14" s="12"/>
      <c r="C14" s="12"/>
      <c r="D14" s="12"/>
      <c r="E14" s="12"/>
      <c r="F14" s="12"/>
      <c r="G14" s="12"/>
      <c r="H14" s="12"/>
      <c r="I14" s="12"/>
      <c r="J14" s="12"/>
      <c r="K14" s="50"/>
      <c r="L14" s="50"/>
      <c r="N14" s="17">
        <f t="shared" si="1"/>
        <v>0</v>
      </c>
    </row>
    <row r="15">
      <c r="A15" s="13" t="s">
        <v>14</v>
      </c>
      <c r="B15" s="13" t="s">
        <v>15</v>
      </c>
      <c r="C15" s="13" t="s">
        <v>16</v>
      </c>
      <c r="D15" s="13" t="s">
        <v>17</v>
      </c>
      <c r="E15" s="13" t="s">
        <v>18</v>
      </c>
      <c r="F15" s="13" t="s">
        <v>19</v>
      </c>
      <c r="G15" s="13" t="s">
        <v>20</v>
      </c>
      <c r="H15" s="13" t="s">
        <v>21</v>
      </c>
      <c r="I15" s="13" t="s">
        <v>22</v>
      </c>
      <c r="J15" s="13" t="s">
        <v>23</v>
      </c>
      <c r="K15" s="43" t="s">
        <v>24</v>
      </c>
      <c r="L15" s="44" t="s">
        <v>25</v>
      </c>
      <c r="N15" s="17">
        <f t="shared" si="1"/>
        <v>0</v>
      </c>
    </row>
    <row r="16">
      <c r="A16" s="15" t="s">
        <v>26</v>
      </c>
      <c r="B16" s="16">
        <v>32.0</v>
      </c>
      <c r="C16" s="16">
        <v>25.0</v>
      </c>
      <c r="D16" s="16">
        <v>0.0</v>
      </c>
      <c r="E16" s="16">
        <v>15.6</v>
      </c>
      <c r="F16" s="16">
        <v>15.9</v>
      </c>
      <c r="G16" s="16">
        <v>15.0</v>
      </c>
      <c r="H16" s="16">
        <v>14.0</v>
      </c>
      <c r="I16" s="16">
        <v>20.5</v>
      </c>
      <c r="J16" s="16">
        <v>30.5</v>
      </c>
      <c r="K16" s="45">
        <v>8.0</v>
      </c>
      <c r="L16" s="45">
        <v>80.0</v>
      </c>
      <c r="N16" s="17">
        <f t="shared" si="1"/>
        <v>256.5</v>
      </c>
    </row>
    <row r="17">
      <c r="A17" s="15" t="s">
        <v>27</v>
      </c>
      <c r="B17" s="16">
        <v>12.0</v>
      </c>
      <c r="C17" s="16">
        <v>26.0</v>
      </c>
      <c r="D17" s="16">
        <v>0.0</v>
      </c>
      <c r="E17" s="16">
        <v>10.0</v>
      </c>
      <c r="F17" s="16">
        <v>4.4</v>
      </c>
      <c r="G17" s="16">
        <v>10.0</v>
      </c>
      <c r="H17" s="16">
        <v>8.0</v>
      </c>
      <c r="I17" s="16">
        <v>6.6</v>
      </c>
      <c r="J17" s="16">
        <v>15.4</v>
      </c>
      <c r="K17" s="45">
        <v>0.0</v>
      </c>
      <c r="L17" s="45">
        <v>2.0</v>
      </c>
      <c r="N17" s="17">
        <f t="shared" si="1"/>
        <v>94.4</v>
      </c>
    </row>
    <row r="18">
      <c r="A18" s="18" t="s">
        <v>28</v>
      </c>
      <c r="B18" s="18">
        <f t="shared" ref="B18:L18" si="4">SUM(B16:B17)</f>
        <v>44</v>
      </c>
      <c r="C18" s="18">
        <f t="shared" si="4"/>
        <v>51</v>
      </c>
      <c r="D18" s="18">
        <f t="shared" si="4"/>
        <v>0</v>
      </c>
      <c r="E18" s="18">
        <f t="shared" si="4"/>
        <v>25.6</v>
      </c>
      <c r="F18" s="18">
        <f t="shared" si="4"/>
        <v>20.3</v>
      </c>
      <c r="G18" s="18">
        <f t="shared" si="4"/>
        <v>25</v>
      </c>
      <c r="H18" s="18">
        <f t="shared" si="4"/>
        <v>22</v>
      </c>
      <c r="I18" s="18">
        <f t="shared" si="4"/>
        <v>27.1</v>
      </c>
      <c r="J18" s="18">
        <f t="shared" si="4"/>
        <v>45.9</v>
      </c>
      <c r="K18" s="47">
        <f t="shared" si="4"/>
        <v>8</v>
      </c>
      <c r="L18" s="47">
        <f t="shared" si="4"/>
        <v>82</v>
      </c>
      <c r="M18" s="20"/>
      <c r="N18" s="20">
        <f t="shared" si="1"/>
        <v>350.9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K19" s="50"/>
      <c r="L19" s="50"/>
      <c r="N19" s="17">
        <f t="shared" si="1"/>
        <v>0</v>
      </c>
    </row>
    <row r="20">
      <c r="A20" s="63">
        <v>45812.0</v>
      </c>
      <c r="B20" s="12"/>
      <c r="C20" s="12"/>
      <c r="D20" s="12"/>
      <c r="E20" s="12"/>
      <c r="F20" s="12"/>
      <c r="G20" s="12"/>
      <c r="H20" s="12"/>
      <c r="I20" s="12"/>
      <c r="J20" s="12"/>
      <c r="K20" s="50"/>
      <c r="L20" s="50"/>
      <c r="N20" s="17">
        <f t="shared" si="1"/>
        <v>0</v>
      </c>
    </row>
    <row r="21">
      <c r="A21" s="13" t="s">
        <v>14</v>
      </c>
      <c r="B21" s="13" t="s">
        <v>15</v>
      </c>
      <c r="C21" s="13" t="s">
        <v>16</v>
      </c>
      <c r="D21" s="13" t="s">
        <v>17</v>
      </c>
      <c r="E21" s="13" t="s">
        <v>18</v>
      </c>
      <c r="F21" s="13" t="s">
        <v>19</v>
      </c>
      <c r="G21" s="30" t="s">
        <v>20</v>
      </c>
      <c r="H21" s="30" t="s">
        <v>21</v>
      </c>
      <c r="I21" s="13" t="s">
        <v>22</v>
      </c>
      <c r="J21" s="13" t="s">
        <v>23</v>
      </c>
      <c r="K21" s="43" t="s">
        <v>24</v>
      </c>
      <c r="L21" s="44" t="s">
        <v>25</v>
      </c>
      <c r="N21" s="17">
        <f t="shared" si="1"/>
        <v>0</v>
      </c>
    </row>
    <row r="22">
      <c r="A22" s="15" t="s">
        <v>26</v>
      </c>
      <c r="B22" s="16">
        <v>36.0</v>
      </c>
      <c r="C22" s="16">
        <v>29.0</v>
      </c>
      <c r="D22" s="16">
        <v>12.0</v>
      </c>
      <c r="E22" s="16">
        <v>2.4</v>
      </c>
      <c r="F22" s="16">
        <v>16.0</v>
      </c>
      <c r="G22" s="16">
        <v>13.6</v>
      </c>
      <c r="H22" s="16">
        <v>12.0</v>
      </c>
      <c r="I22" s="16">
        <v>5.6</v>
      </c>
      <c r="J22" s="16">
        <v>10.0</v>
      </c>
      <c r="K22" s="45">
        <v>8.0</v>
      </c>
      <c r="L22" s="45">
        <v>28.0</v>
      </c>
      <c r="N22" s="17">
        <f t="shared" si="1"/>
        <v>172.6</v>
      </c>
    </row>
    <row r="23">
      <c r="A23" s="15" t="s">
        <v>27</v>
      </c>
      <c r="B23" s="16">
        <v>8.0</v>
      </c>
      <c r="C23" s="16">
        <v>25.0</v>
      </c>
      <c r="D23" s="16">
        <v>8.0</v>
      </c>
      <c r="E23" s="16">
        <v>4.0</v>
      </c>
      <c r="F23" s="16">
        <v>9.5</v>
      </c>
      <c r="G23" s="33">
        <v>20.0</v>
      </c>
      <c r="H23" s="33">
        <v>4.0</v>
      </c>
      <c r="I23" s="16">
        <v>5.4</v>
      </c>
      <c r="J23" s="16">
        <v>14.1</v>
      </c>
      <c r="K23" s="45">
        <v>2.0</v>
      </c>
      <c r="L23" s="45">
        <v>2.0</v>
      </c>
      <c r="N23" s="17">
        <f t="shared" si="1"/>
        <v>102</v>
      </c>
    </row>
    <row r="24">
      <c r="A24" s="18" t="s">
        <v>28</v>
      </c>
      <c r="B24" s="18">
        <f t="shared" ref="B24:L24" si="5">SUM(B22:B23)</f>
        <v>44</v>
      </c>
      <c r="C24" s="18">
        <f t="shared" si="5"/>
        <v>54</v>
      </c>
      <c r="D24" s="18">
        <f t="shared" si="5"/>
        <v>20</v>
      </c>
      <c r="E24" s="18">
        <f t="shared" si="5"/>
        <v>6.4</v>
      </c>
      <c r="F24" s="18">
        <f t="shared" si="5"/>
        <v>25.5</v>
      </c>
      <c r="G24" s="18">
        <f t="shared" si="5"/>
        <v>33.6</v>
      </c>
      <c r="H24" s="18">
        <f t="shared" si="5"/>
        <v>16</v>
      </c>
      <c r="I24" s="18">
        <f t="shared" si="5"/>
        <v>11</v>
      </c>
      <c r="J24" s="18">
        <f t="shared" si="5"/>
        <v>24.1</v>
      </c>
      <c r="K24" s="47">
        <f t="shared" si="5"/>
        <v>10</v>
      </c>
      <c r="L24" s="47">
        <f t="shared" si="5"/>
        <v>30</v>
      </c>
      <c r="M24" s="20"/>
      <c r="N24" s="20">
        <f t="shared" si="1"/>
        <v>274.6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K25" s="50"/>
      <c r="L25" s="50"/>
      <c r="N25" s="17">
        <f t="shared" si="1"/>
        <v>0</v>
      </c>
    </row>
    <row r="26">
      <c r="A26" s="63">
        <v>45813.0</v>
      </c>
      <c r="B26" s="12"/>
      <c r="C26" s="12"/>
      <c r="D26" s="12"/>
      <c r="E26" s="12"/>
      <c r="F26" s="12"/>
      <c r="G26" s="29"/>
      <c r="H26" s="29"/>
      <c r="I26" s="12"/>
      <c r="J26" s="12"/>
      <c r="K26" s="50"/>
      <c r="L26" s="50"/>
      <c r="N26" s="17">
        <f t="shared" si="1"/>
        <v>0</v>
      </c>
    </row>
    <row r="27">
      <c r="A27" s="13" t="s">
        <v>14</v>
      </c>
      <c r="B27" s="13" t="s">
        <v>15</v>
      </c>
      <c r="C27" s="13" t="s">
        <v>16</v>
      </c>
      <c r="D27" s="13" t="s">
        <v>17</v>
      </c>
      <c r="E27" s="13" t="s">
        <v>18</v>
      </c>
      <c r="F27" s="13" t="s">
        <v>19</v>
      </c>
      <c r="G27" s="30" t="s">
        <v>20</v>
      </c>
      <c r="H27" s="30" t="s">
        <v>21</v>
      </c>
      <c r="I27" s="13" t="s">
        <v>22</v>
      </c>
      <c r="J27" s="13" t="s">
        <v>23</v>
      </c>
      <c r="K27" s="43" t="s">
        <v>24</v>
      </c>
      <c r="L27" s="44" t="s">
        <v>25</v>
      </c>
      <c r="N27" s="17">
        <f t="shared" si="1"/>
        <v>0</v>
      </c>
    </row>
    <row r="28">
      <c r="A28" s="15" t="s">
        <v>26</v>
      </c>
      <c r="B28" s="16">
        <v>34.0</v>
      </c>
      <c r="C28" s="16">
        <v>30.0</v>
      </c>
      <c r="D28" s="16">
        <v>12.0</v>
      </c>
      <c r="E28" s="16">
        <v>23.5</v>
      </c>
      <c r="F28" s="16">
        <v>26.0</v>
      </c>
      <c r="G28" s="33">
        <v>20.0</v>
      </c>
      <c r="H28" s="33">
        <v>15.0</v>
      </c>
      <c r="I28" s="16">
        <v>7.9</v>
      </c>
      <c r="J28" s="16">
        <v>12.5</v>
      </c>
      <c r="K28" s="45">
        <v>8.0</v>
      </c>
      <c r="L28" s="45">
        <v>20.0</v>
      </c>
      <c r="N28" s="17">
        <f t="shared" si="1"/>
        <v>208.9</v>
      </c>
    </row>
    <row r="29">
      <c r="A29" s="15" t="s">
        <v>27</v>
      </c>
      <c r="B29" s="16">
        <v>13.0</v>
      </c>
      <c r="C29" s="16">
        <v>15.0</v>
      </c>
      <c r="D29" s="16">
        <v>8.0</v>
      </c>
      <c r="E29" s="16">
        <v>10.0</v>
      </c>
      <c r="F29" s="16">
        <v>13.0</v>
      </c>
      <c r="G29" s="33">
        <v>25.0</v>
      </c>
      <c r="H29" s="33">
        <v>10.0</v>
      </c>
      <c r="I29" s="16">
        <v>10.0</v>
      </c>
      <c r="J29" s="16">
        <v>10.0</v>
      </c>
      <c r="K29" s="45">
        <v>0.0</v>
      </c>
      <c r="L29" s="45">
        <v>1.0</v>
      </c>
      <c r="N29" s="17">
        <f t="shared" si="1"/>
        <v>115</v>
      </c>
    </row>
    <row r="30">
      <c r="A30" s="18" t="s">
        <v>28</v>
      </c>
      <c r="B30" s="18">
        <f t="shared" ref="B30:L30" si="6">SUM(B28:B29)</f>
        <v>47</v>
      </c>
      <c r="C30" s="18">
        <f t="shared" si="6"/>
        <v>45</v>
      </c>
      <c r="D30" s="18">
        <f t="shared" si="6"/>
        <v>20</v>
      </c>
      <c r="E30" s="18">
        <f t="shared" si="6"/>
        <v>33.5</v>
      </c>
      <c r="F30" s="18">
        <f t="shared" si="6"/>
        <v>39</v>
      </c>
      <c r="G30" s="18">
        <f t="shared" si="6"/>
        <v>45</v>
      </c>
      <c r="H30" s="18">
        <f t="shared" si="6"/>
        <v>25</v>
      </c>
      <c r="I30" s="18">
        <f t="shared" si="6"/>
        <v>17.9</v>
      </c>
      <c r="J30" s="18">
        <f t="shared" si="6"/>
        <v>22.5</v>
      </c>
      <c r="K30" s="47">
        <f t="shared" si="6"/>
        <v>8</v>
      </c>
      <c r="L30" s="47">
        <f t="shared" si="6"/>
        <v>21</v>
      </c>
      <c r="M30" s="20"/>
      <c r="N30" s="20">
        <f t="shared" si="1"/>
        <v>323.9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K31" s="54"/>
      <c r="L31" s="54"/>
      <c r="N31" s="17">
        <f t="shared" si="1"/>
        <v>0</v>
      </c>
    </row>
    <row r="32">
      <c r="A32" s="63">
        <v>45814.0</v>
      </c>
      <c r="B32" s="12"/>
      <c r="C32" s="12"/>
      <c r="D32" s="12"/>
      <c r="E32" s="12"/>
      <c r="F32" s="12"/>
      <c r="G32" s="12"/>
      <c r="H32" s="12"/>
      <c r="I32" s="12"/>
      <c r="J32" s="12"/>
      <c r="K32" s="50"/>
      <c r="L32" s="50"/>
      <c r="N32" s="17">
        <f t="shared" si="1"/>
        <v>0</v>
      </c>
    </row>
    <row r="33">
      <c r="A33" s="13" t="s">
        <v>14</v>
      </c>
      <c r="B33" s="13" t="s">
        <v>15</v>
      </c>
      <c r="C33" s="13" t="s">
        <v>16</v>
      </c>
      <c r="D33" s="13" t="s">
        <v>17</v>
      </c>
      <c r="E33" s="13" t="s">
        <v>18</v>
      </c>
      <c r="F33" s="13" t="s">
        <v>19</v>
      </c>
      <c r="G33" s="30" t="s">
        <v>20</v>
      </c>
      <c r="H33" s="30" t="s">
        <v>21</v>
      </c>
      <c r="I33" s="13" t="s">
        <v>22</v>
      </c>
      <c r="J33" s="13" t="s">
        <v>23</v>
      </c>
      <c r="K33" s="44" t="s">
        <v>24</v>
      </c>
      <c r="L33" s="44" t="s">
        <v>25</v>
      </c>
      <c r="N33" s="17">
        <f t="shared" si="1"/>
        <v>0</v>
      </c>
    </row>
    <row r="34">
      <c r="A34" s="15" t="s">
        <v>26</v>
      </c>
      <c r="B34" s="16">
        <v>38.0</v>
      </c>
      <c r="C34" s="16">
        <v>16.0</v>
      </c>
      <c r="D34" s="16">
        <v>0.0</v>
      </c>
      <c r="E34" s="16">
        <v>5.2</v>
      </c>
      <c r="F34" s="16">
        <v>4.1</v>
      </c>
      <c r="G34" s="16">
        <v>13.6</v>
      </c>
      <c r="H34" s="16">
        <v>12.0</v>
      </c>
      <c r="I34" s="16">
        <v>9.3</v>
      </c>
      <c r="J34" s="16">
        <v>15.4</v>
      </c>
      <c r="K34" s="45">
        <v>25.0</v>
      </c>
      <c r="L34" s="55">
        <v>80.0</v>
      </c>
      <c r="N34" s="17">
        <f t="shared" si="1"/>
        <v>218.6</v>
      </c>
    </row>
    <row r="35">
      <c r="A35" s="15" t="s">
        <v>27</v>
      </c>
      <c r="B35" s="16">
        <v>14.0</v>
      </c>
      <c r="C35" s="16">
        <v>8.0</v>
      </c>
      <c r="D35" s="16">
        <v>0.0</v>
      </c>
      <c r="E35" s="16">
        <v>0.0</v>
      </c>
      <c r="F35" s="16">
        <v>0.0</v>
      </c>
      <c r="G35" s="33">
        <v>20.0</v>
      </c>
      <c r="H35" s="33">
        <v>5.0</v>
      </c>
      <c r="I35" s="16">
        <v>0.0</v>
      </c>
      <c r="J35" s="16">
        <v>0.0</v>
      </c>
      <c r="K35" s="45">
        <v>2.0</v>
      </c>
      <c r="L35" s="45">
        <v>0.0</v>
      </c>
      <c r="N35" s="17">
        <f t="shared" si="1"/>
        <v>49</v>
      </c>
    </row>
    <row r="36">
      <c r="A36" s="18" t="s">
        <v>28</v>
      </c>
      <c r="B36" s="18">
        <f t="shared" ref="B36:L36" si="7">SUM(B34:B35)</f>
        <v>52</v>
      </c>
      <c r="C36" s="18">
        <f t="shared" si="7"/>
        <v>24</v>
      </c>
      <c r="D36" s="18">
        <f t="shared" si="7"/>
        <v>0</v>
      </c>
      <c r="E36" s="18">
        <f t="shared" si="7"/>
        <v>5.2</v>
      </c>
      <c r="F36" s="18">
        <f t="shared" si="7"/>
        <v>4.1</v>
      </c>
      <c r="G36" s="18">
        <f t="shared" si="7"/>
        <v>33.6</v>
      </c>
      <c r="H36" s="18">
        <f t="shared" si="7"/>
        <v>17</v>
      </c>
      <c r="I36" s="18">
        <f t="shared" si="7"/>
        <v>9.3</v>
      </c>
      <c r="J36" s="18">
        <f t="shared" si="7"/>
        <v>15.4</v>
      </c>
      <c r="K36" s="47">
        <f t="shared" si="7"/>
        <v>27</v>
      </c>
      <c r="L36" s="47">
        <f t="shared" si="7"/>
        <v>80</v>
      </c>
      <c r="M36" s="20"/>
      <c r="N36" s="20">
        <f t="shared" si="1"/>
        <v>267.6</v>
      </c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K37" s="50"/>
      <c r="L37" s="50"/>
      <c r="N37" s="17">
        <f t="shared" si="1"/>
        <v>0</v>
      </c>
    </row>
    <row r="38">
      <c r="A38" s="63">
        <v>45815.0</v>
      </c>
      <c r="B38" s="12"/>
      <c r="C38" s="12"/>
      <c r="D38" s="12"/>
      <c r="E38" s="12"/>
      <c r="F38" s="12"/>
      <c r="G38" s="29"/>
      <c r="H38" s="29"/>
      <c r="I38" s="12"/>
      <c r="J38" s="12"/>
      <c r="K38" s="50"/>
      <c r="L38" s="50"/>
      <c r="N38" s="17">
        <f t="shared" si="1"/>
        <v>0</v>
      </c>
    </row>
    <row r="39">
      <c r="A39" s="13" t="s">
        <v>14</v>
      </c>
      <c r="B39" s="13" t="s">
        <v>15</v>
      </c>
      <c r="C39" s="13" t="s">
        <v>16</v>
      </c>
      <c r="D39" s="13" t="s">
        <v>17</v>
      </c>
      <c r="E39" s="13" t="s">
        <v>18</v>
      </c>
      <c r="F39" s="13" t="s">
        <v>19</v>
      </c>
      <c r="G39" s="30" t="s">
        <v>20</v>
      </c>
      <c r="H39" s="30" t="s">
        <v>21</v>
      </c>
      <c r="I39" s="13" t="s">
        <v>22</v>
      </c>
      <c r="J39" s="13" t="s">
        <v>23</v>
      </c>
      <c r="K39" s="44" t="s">
        <v>24</v>
      </c>
      <c r="L39" s="44" t="s">
        <v>25</v>
      </c>
      <c r="N39" s="17">
        <f t="shared" si="1"/>
        <v>0</v>
      </c>
    </row>
    <row r="40">
      <c r="A40" s="15" t="s">
        <v>26</v>
      </c>
      <c r="B40" s="16">
        <v>29.0</v>
      </c>
      <c r="C40" s="16">
        <v>29.6</v>
      </c>
      <c r="D40" s="16">
        <v>25.0</v>
      </c>
      <c r="E40" s="16">
        <v>43.2</v>
      </c>
      <c r="F40" s="16">
        <v>26.0</v>
      </c>
      <c r="G40" s="33">
        <v>20.0</v>
      </c>
      <c r="H40" s="33">
        <v>15.0</v>
      </c>
      <c r="I40" s="16">
        <v>10.6</v>
      </c>
      <c r="J40" s="16">
        <v>18.1</v>
      </c>
      <c r="K40" s="45">
        <v>8.0</v>
      </c>
      <c r="L40" s="45">
        <v>70.0</v>
      </c>
      <c r="N40" s="17">
        <f t="shared" si="1"/>
        <v>294.5</v>
      </c>
    </row>
    <row r="41">
      <c r="A41" s="15" t="s">
        <v>27</v>
      </c>
      <c r="B41" s="15"/>
      <c r="C41" s="16">
        <v>25.9</v>
      </c>
      <c r="D41" s="16">
        <v>0.0</v>
      </c>
      <c r="E41" s="16">
        <v>0.0</v>
      </c>
      <c r="F41" s="16">
        <v>10.0</v>
      </c>
      <c r="G41" s="33">
        <v>25.0</v>
      </c>
      <c r="H41" s="33">
        <v>10.0</v>
      </c>
      <c r="I41" s="16">
        <v>8.0</v>
      </c>
      <c r="J41" s="16">
        <v>9.0</v>
      </c>
      <c r="K41" s="45">
        <v>0.0</v>
      </c>
      <c r="L41" s="45">
        <v>1.0</v>
      </c>
      <c r="N41" s="17">
        <f t="shared" si="1"/>
        <v>88.9</v>
      </c>
    </row>
    <row r="42">
      <c r="A42" s="18" t="s">
        <v>28</v>
      </c>
      <c r="B42" s="18">
        <f t="shared" ref="B42:L42" si="8">SUM(B40:B41)</f>
        <v>29</v>
      </c>
      <c r="C42" s="18">
        <f t="shared" si="8"/>
        <v>55.5</v>
      </c>
      <c r="D42" s="18">
        <f t="shared" si="8"/>
        <v>25</v>
      </c>
      <c r="E42" s="18">
        <f t="shared" si="8"/>
        <v>43.2</v>
      </c>
      <c r="F42" s="18">
        <f t="shared" si="8"/>
        <v>36</v>
      </c>
      <c r="G42" s="18">
        <f t="shared" si="8"/>
        <v>45</v>
      </c>
      <c r="H42" s="18">
        <f t="shared" si="8"/>
        <v>25</v>
      </c>
      <c r="I42" s="18">
        <f t="shared" si="8"/>
        <v>18.6</v>
      </c>
      <c r="J42" s="18">
        <f t="shared" si="8"/>
        <v>27.1</v>
      </c>
      <c r="K42" s="47">
        <f t="shared" si="8"/>
        <v>8</v>
      </c>
      <c r="L42" s="47">
        <f t="shared" si="8"/>
        <v>71</v>
      </c>
      <c r="M42" s="20"/>
      <c r="N42" s="20">
        <f t="shared" si="1"/>
        <v>383.4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K43" s="50"/>
      <c r="L43" s="50"/>
      <c r="N43" s="17">
        <f t="shared" si="1"/>
        <v>0</v>
      </c>
    </row>
    <row r="44">
      <c r="A44" s="63">
        <v>45816.0</v>
      </c>
      <c r="B44" s="12"/>
      <c r="C44" s="12"/>
      <c r="D44" s="12"/>
      <c r="E44" s="12"/>
      <c r="F44" s="12"/>
      <c r="G44" s="12"/>
      <c r="H44" s="12"/>
      <c r="I44" s="12"/>
      <c r="J44" s="12"/>
      <c r="K44" s="50"/>
      <c r="L44" s="50"/>
      <c r="N44" s="17">
        <f t="shared" si="1"/>
        <v>0</v>
      </c>
    </row>
    <row r="45">
      <c r="A45" s="13" t="s">
        <v>14</v>
      </c>
      <c r="B45" s="13" t="s">
        <v>15</v>
      </c>
      <c r="C45" s="13" t="s">
        <v>16</v>
      </c>
      <c r="D45" s="13" t="s">
        <v>17</v>
      </c>
      <c r="E45" s="13" t="s">
        <v>18</v>
      </c>
      <c r="F45" s="13" t="s">
        <v>19</v>
      </c>
      <c r="G45" s="30" t="s">
        <v>20</v>
      </c>
      <c r="H45" s="30" t="s">
        <v>21</v>
      </c>
      <c r="I45" s="13" t="s">
        <v>22</v>
      </c>
      <c r="J45" s="13" t="s">
        <v>23</v>
      </c>
      <c r="K45" s="44" t="s">
        <v>24</v>
      </c>
      <c r="L45" s="44" t="s">
        <v>25</v>
      </c>
      <c r="N45" s="17">
        <f t="shared" si="1"/>
        <v>0</v>
      </c>
    </row>
    <row r="46">
      <c r="A46" s="15" t="s">
        <v>26</v>
      </c>
      <c r="B46" s="16">
        <v>26.0</v>
      </c>
      <c r="C46" s="16">
        <v>30.0</v>
      </c>
      <c r="D46" s="16">
        <v>30.0</v>
      </c>
      <c r="E46" s="16">
        <v>19.0</v>
      </c>
      <c r="F46" s="16">
        <v>6.3</v>
      </c>
      <c r="G46" s="16">
        <v>13.6</v>
      </c>
      <c r="H46" s="16">
        <v>12.0</v>
      </c>
      <c r="I46" s="16">
        <v>16.0</v>
      </c>
      <c r="J46" s="16">
        <v>18.4</v>
      </c>
      <c r="K46" s="45">
        <v>24.0</v>
      </c>
      <c r="L46" s="45">
        <v>86.0</v>
      </c>
      <c r="N46" s="17">
        <f t="shared" si="1"/>
        <v>281.3</v>
      </c>
    </row>
    <row r="47">
      <c r="A47" s="15" t="s">
        <v>27</v>
      </c>
      <c r="B47" s="16">
        <v>13.0</v>
      </c>
      <c r="C47" s="16">
        <v>40.0</v>
      </c>
      <c r="D47" s="16">
        <v>25.0</v>
      </c>
      <c r="E47" s="16">
        <v>10.0</v>
      </c>
      <c r="F47" s="16">
        <v>8.0</v>
      </c>
      <c r="G47" s="33">
        <v>20.0</v>
      </c>
      <c r="H47" s="33">
        <v>4.0</v>
      </c>
      <c r="I47" s="16">
        <v>10.0</v>
      </c>
      <c r="J47" s="16">
        <v>10.0</v>
      </c>
      <c r="K47" s="45">
        <v>2.0</v>
      </c>
      <c r="L47" s="45">
        <v>0.0</v>
      </c>
      <c r="N47" s="17">
        <f t="shared" si="1"/>
        <v>142</v>
      </c>
    </row>
    <row r="48">
      <c r="A48" s="18" t="s">
        <v>28</v>
      </c>
      <c r="B48" s="18">
        <f t="shared" ref="B48:L48" si="9">SUM(B46:B47)</f>
        <v>39</v>
      </c>
      <c r="C48" s="18">
        <f t="shared" si="9"/>
        <v>70</v>
      </c>
      <c r="D48" s="18">
        <f t="shared" si="9"/>
        <v>55</v>
      </c>
      <c r="E48" s="18">
        <f t="shared" si="9"/>
        <v>29</v>
      </c>
      <c r="F48" s="18">
        <f t="shared" si="9"/>
        <v>14.3</v>
      </c>
      <c r="G48" s="18">
        <f t="shared" si="9"/>
        <v>33.6</v>
      </c>
      <c r="H48" s="18">
        <f t="shared" si="9"/>
        <v>16</v>
      </c>
      <c r="I48" s="18">
        <f t="shared" si="9"/>
        <v>26</v>
      </c>
      <c r="J48" s="18">
        <f t="shared" si="9"/>
        <v>28.4</v>
      </c>
      <c r="K48" s="47">
        <f t="shared" si="9"/>
        <v>26</v>
      </c>
      <c r="L48" s="47">
        <f t="shared" si="9"/>
        <v>86</v>
      </c>
      <c r="M48" s="20"/>
      <c r="N48" s="20">
        <f t="shared" si="1"/>
        <v>423.3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K49" s="50"/>
      <c r="L49" s="50"/>
      <c r="N49" s="17">
        <f t="shared" si="1"/>
        <v>0</v>
      </c>
    </row>
    <row r="50">
      <c r="A50" s="63">
        <v>45817.0</v>
      </c>
      <c r="B50" s="12"/>
      <c r="C50" s="12"/>
      <c r="D50" s="12"/>
      <c r="E50" s="12"/>
      <c r="F50" s="12"/>
      <c r="G50" s="29"/>
      <c r="H50" s="29"/>
      <c r="I50" s="12"/>
      <c r="J50" s="12"/>
      <c r="K50" s="50"/>
      <c r="L50" s="50"/>
      <c r="N50" s="17">
        <f t="shared" si="1"/>
        <v>0</v>
      </c>
    </row>
    <row r="51">
      <c r="A51" s="13" t="s">
        <v>14</v>
      </c>
      <c r="B51" s="13" t="s">
        <v>15</v>
      </c>
      <c r="C51" s="13" t="s">
        <v>16</v>
      </c>
      <c r="D51" s="13" t="s">
        <v>17</v>
      </c>
      <c r="E51" s="13" t="s">
        <v>18</v>
      </c>
      <c r="F51" s="13" t="s">
        <v>19</v>
      </c>
      <c r="G51" s="30" t="s">
        <v>20</v>
      </c>
      <c r="H51" s="30" t="s">
        <v>21</v>
      </c>
      <c r="I51" s="13" t="s">
        <v>22</v>
      </c>
      <c r="J51" s="13" t="s">
        <v>23</v>
      </c>
      <c r="K51" s="44" t="s">
        <v>24</v>
      </c>
      <c r="L51" s="44" t="s">
        <v>25</v>
      </c>
      <c r="N51" s="17">
        <f t="shared" si="1"/>
        <v>0</v>
      </c>
    </row>
    <row r="52">
      <c r="A52" s="15" t="s">
        <v>26</v>
      </c>
      <c r="B52" s="16">
        <v>58.0</v>
      </c>
      <c r="C52" s="16">
        <v>40.0</v>
      </c>
      <c r="D52" s="16">
        <v>16.0</v>
      </c>
      <c r="E52" s="16">
        <v>3.5</v>
      </c>
      <c r="F52" s="16">
        <v>12.9</v>
      </c>
      <c r="G52" s="33">
        <v>20.0</v>
      </c>
      <c r="H52" s="33">
        <v>15.0</v>
      </c>
      <c r="I52" s="16">
        <v>27.0</v>
      </c>
      <c r="J52" s="16">
        <v>17.7</v>
      </c>
      <c r="K52" s="45">
        <v>27.0</v>
      </c>
      <c r="L52" s="45">
        <v>80.0</v>
      </c>
      <c r="N52" s="17">
        <f t="shared" si="1"/>
        <v>317.1</v>
      </c>
    </row>
    <row r="53">
      <c r="A53" s="15" t="s">
        <v>27</v>
      </c>
      <c r="B53" s="16">
        <v>16.0</v>
      </c>
      <c r="C53" s="16">
        <v>15.0</v>
      </c>
      <c r="D53" s="16">
        <v>8.0</v>
      </c>
      <c r="E53" s="16">
        <v>3.0</v>
      </c>
      <c r="F53" s="16">
        <v>0.0</v>
      </c>
      <c r="G53" s="33">
        <v>25.0</v>
      </c>
      <c r="H53" s="33">
        <v>10.0</v>
      </c>
      <c r="I53" s="16">
        <v>0.0</v>
      </c>
      <c r="J53" s="16">
        <v>0.0</v>
      </c>
      <c r="K53" s="45">
        <v>2.0</v>
      </c>
      <c r="L53" s="45">
        <v>0.0</v>
      </c>
      <c r="N53" s="17">
        <f t="shared" si="1"/>
        <v>79</v>
      </c>
    </row>
    <row r="54">
      <c r="A54" s="18" t="s">
        <v>28</v>
      </c>
      <c r="B54" s="18">
        <f t="shared" ref="B54:L54" si="10">SUM(B52:B53)</f>
        <v>74</v>
      </c>
      <c r="C54" s="18">
        <f t="shared" si="10"/>
        <v>55</v>
      </c>
      <c r="D54" s="18">
        <f t="shared" si="10"/>
        <v>24</v>
      </c>
      <c r="E54" s="18">
        <f t="shared" si="10"/>
        <v>6.5</v>
      </c>
      <c r="F54" s="18">
        <f t="shared" si="10"/>
        <v>12.9</v>
      </c>
      <c r="G54" s="18">
        <f t="shared" si="10"/>
        <v>45</v>
      </c>
      <c r="H54" s="18">
        <f t="shared" si="10"/>
        <v>25</v>
      </c>
      <c r="I54" s="18">
        <f t="shared" si="10"/>
        <v>27</v>
      </c>
      <c r="J54" s="18">
        <f t="shared" si="10"/>
        <v>17.7</v>
      </c>
      <c r="K54" s="47">
        <f t="shared" si="10"/>
        <v>29</v>
      </c>
      <c r="L54" s="47">
        <f t="shared" si="10"/>
        <v>80</v>
      </c>
      <c r="M54" s="20"/>
      <c r="N54" s="20">
        <f t="shared" si="1"/>
        <v>396.1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K55" s="50"/>
      <c r="L55" s="50"/>
      <c r="N55" s="17">
        <f t="shared" si="1"/>
        <v>0</v>
      </c>
    </row>
    <row r="56">
      <c r="A56" s="63">
        <v>45818.0</v>
      </c>
      <c r="B56" s="12"/>
      <c r="C56" s="12"/>
      <c r="D56" s="12"/>
      <c r="E56" s="12"/>
      <c r="F56" s="12"/>
      <c r="G56" s="12"/>
      <c r="H56" s="12"/>
      <c r="I56" s="12"/>
      <c r="J56" s="12"/>
      <c r="K56" s="50"/>
      <c r="L56" s="50"/>
      <c r="N56" s="17">
        <f t="shared" si="1"/>
        <v>0</v>
      </c>
    </row>
    <row r="57">
      <c r="A57" s="13" t="s">
        <v>14</v>
      </c>
      <c r="B57" s="13" t="s">
        <v>15</v>
      </c>
      <c r="C57" s="13" t="s">
        <v>16</v>
      </c>
      <c r="D57" s="13" t="s">
        <v>17</v>
      </c>
      <c r="E57" s="13" t="s">
        <v>18</v>
      </c>
      <c r="F57" s="13" t="s">
        <v>19</v>
      </c>
      <c r="G57" s="30" t="s">
        <v>20</v>
      </c>
      <c r="H57" s="30" t="s">
        <v>21</v>
      </c>
      <c r="I57" s="13" t="s">
        <v>22</v>
      </c>
      <c r="J57" s="13" t="s">
        <v>23</v>
      </c>
      <c r="K57" s="44" t="s">
        <v>24</v>
      </c>
      <c r="L57" s="44" t="s">
        <v>25</v>
      </c>
      <c r="N57" s="17">
        <f t="shared" si="1"/>
        <v>0</v>
      </c>
    </row>
    <row r="58">
      <c r="A58" s="15" t="s">
        <v>26</v>
      </c>
      <c r="B58" s="16">
        <v>23.0</v>
      </c>
      <c r="C58" s="16">
        <v>40.0</v>
      </c>
      <c r="D58" s="16">
        <v>0.0</v>
      </c>
      <c r="E58" s="16">
        <v>2.3</v>
      </c>
      <c r="F58" s="16">
        <v>6.4</v>
      </c>
      <c r="G58" s="16">
        <v>13.6</v>
      </c>
      <c r="H58" s="16">
        <v>12.0</v>
      </c>
      <c r="I58" s="16">
        <v>10.0</v>
      </c>
      <c r="J58" s="16">
        <v>14.4</v>
      </c>
      <c r="K58" s="45">
        <v>20.0</v>
      </c>
      <c r="L58" s="45">
        <v>79.0</v>
      </c>
      <c r="N58" s="17">
        <f t="shared" si="1"/>
        <v>220.7</v>
      </c>
    </row>
    <row r="59">
      <c r="A59" s="15" t="s">
        <v>27</v>
      </c>
      <c r="B59" s="16">
        <v>8.0</v>
      </c>
      <c r="C59" s="16">
        <v>25.0</v>
      </c>
      <c r="D59" s="16">
        <v>0.0</v>
      </c>
      <c r="E59" s="16">
        <v>0.0</v>
      </c>
      <c r="F59" s="16">
        <v>0.0</v>
      </c>
      <c r="G59" s="33">
        <v>20.0</v>
      </c>
      <c r="H59" s="33">
        <v>4.0</v>
      </c>
      <c r="I59" s="16">
        <v>0.0</v>
      </c>
      <c r="J59" s="16">
        <v>0.0</v>
      </c>
      <c r="K59" s="45">
        <v>1.0</v>
      </c>
      <c r="L59" s="45">
        <v>0.0</v>
      </c>
      <c r="N59" s="17">
        <f t="shared" si="1"/>
        <v>58</v>
      </c>
    </row>
    <row r="60">
      <c r="A60" s="18" t="s">
        <v>28</v>
      </c>
      <c r="B60" s="18">
        <f t="shared" ref="B60:L60" si="11">SUM(B58:B59)</f>
        <v>31</v>
      </c>
      <c r="C60" s="18">
        <f t="shared" si="11"/>
        <v>65</v>
      </c>
      <c r="D60" s="18">
        <f t="shared" si="11"/>
        <v>0</v>
      </c>
      <c r="E60" s="18">
        <f t="shared" si="11"/>
        <v>2.3</v>
      </c>
      <c r="F60" s="18">
        <f t="shared" si="11"/>
        <v>6.4</v>
      </c>
      <c r="G60" s="18">
        <f t="shared" si="11"/>
        <v>33.6</v>
      </c>
      <c r="H60" s="18">
        <f t="shared" si="11"/>
        <v>16</v>
      </c>
      <c r="I60" s="18">
        <f t="shared" si="11"/>
        <v>10</v>
      </c>
      <c r="J60" s="18">
        <f t="shared" si="11"/>
        <v>14.4</v>
      </c>
      <c r="K60" s="47">
        <f t="shared" si="11"/>
        <v>21</v>
      </c>
      <c r="L60" s="47">
        <f t="shared" si="11"/>
        <v>79</v>
      </c>
      <c r="M60" s="20"/>
      <c r="N60" s="20">
        <f t="shared" si="1"/>
        <v>278.7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K61" s="50"/>
      <c r="L61" s="50"/>
      <c r="N61" s="17">
        <f t="shared" si="1"/>
        <v>0</v>
      </c>
    </row>
    <row r="62">
      <c r="A62" s="63">
        <v>45819.0</v>
      </c>
      <c r="B62" s="12"/>
      <c r="C62" s="12"/>
      <c r="D62" s="12"/>
      <c r="E62" s="12"/>
      <c r="F62" s="12"/>
      <c r="G62" s="29"/>
      <c r="H62" s="29"/>
      <c r="I62" s="12"/>
      <c r="J62" s="12"/>
      <c r="K62" s="50"/>
      <c r="L62" s="50"/>
      <c r="N62" s="17">
        <f t="shared" si="1"/>
        <v>0</v>
      </c>
    </row>
    <row r="63">
      <c r="A63" s="13" t="s">
        <v>14</v>
      </c>
      <c r="B63" s="13" t="s">
        <v>15</v>
      </c>
      <c r="C63" s="13" t="s">
        <v>16</v>
      </c>
      <c r="D63" s="13" t="s">
        <v>17</v>
      </c>
      <c r="E63" s="13" t="s">
        <v>18</v>
      </c>
      <c r="F63" s="13" t="s">
        <v>19</v>
      </c>
      <c r="G63" s="30" t="s">
        <v>20</v>
      </c>
      <c r="H63" s="30" t="s">
        <v>21</v>
      </c>
      <c r="I63" s="13" t="s">
        <v>22</v>
      </c>
      <c r="J63" s="13" t="s">
        <v>23</v>
      </c>
      <c r="K63" s="44" t="s">
        <v>24</v>
      </c>
      <c r="L63" s="44" t="s">
        <v>25</v>
      </c>
      <c r="N63" s="17">
        <f t="shared" si="1"/>
        <v>0</v>
      </c>
    </row>
    <row r="64">
      <c r="A64" s="15" t="s">
        <v>26</v>
      </c>
      <c r="B64" s="16">
        <v>46.0</v>
      </c>
      <c r="C64" s="16">
        <v>18.0</v>
      </c>
      <c r="D64" s="16">
        <v>24.0</v>
      </c>
      <c r="E64" s="16">
        <v>7.4</v>
      </c>
      <c r="F64" s="16">
        <v>11.2</v>
      </c>
      <c r="G64" s="33">
        <v>20.0</v>
      </c>
      <c r="H64" s="33">
        <v>15.0</v>
      </c>
      <c r="I64" s="16">
        <v>20.0</v>
      </c>
      <c r="J64" s="16">
        <v>15.4</v>
      </c>
      <c r="K64" s="45">
        <v>17.0</v>
      </c>
      <c r="L64" s="45">
        <v>80.0</v>
      </c>
      <c r="N64" s="17">
        <f t="shared" si="1"/>
        <v>274</v>
      </c>
    </row>
    <row r="65">
      <c r="A65" s="15" t="s">
        <v>27</v>
      </c>
      <c r="B65" s="16">
        <v>22.0</v>
      </c>
      <c r="C65" s="16">
        <v>18.0</v>
      </c>
      <c r="D65" s="16">
        <v>0.0</v>
      </c>
      <c r="E65" s="16">
        <v>30.0</v>
      </c>
      <c r="F65" s="16">
        <v>25.0</v>
      </c>
      <c r="G65" s="33">
        <v>25.0</v>
      </c>
      <c r="H65" s="33">
        <v>10.0</v>
      </c>
      <c r="I65" s="16">
        <v>27.0</v>
      </c>
      <c r="J65" s="16">
        <v>30.0</v>
      </c>
      <c r="K65" s="45">
        <v>2.0</v>
      </c>
      <c r="L65" s="45">
        <v>0.0</v>
      </c>
      <c r="N65" s="17">
        <f t="shared" si="1"/>
        <v>189</v>
      </c>
    </row>
    <row r="66">
      <c r="A66" s="18" t="s">
        <v>28</v>
      </c>
      <c r="B66" s="18">
        <f t="shared" ref="B66:L66" si="12">SUM(B64:B65)</f>
        <v>68</v>
      </c>
      <c r="C66" s="18">
        <f t="shared" si="12"/>
        <v>36</v>
      </c>
      <c r="D66" s="18">
        <f t="shared" si="12"/>
        <v>24</v>
      </c>
      <c r="E66" s="18">
        <f t="shared" si="12"/>
        <v>37.4</v>
      </c>
      <c r="F66" s="18">
        <f t="shared" si="12"/>
        <v>36.2</v>
      </c>
      <c r="G66" s="18">
        <f t="shared" si="12"/>
        <v>45</v>
      </c>
      <c r="H66" s="18">
        <f t="shared" si="12"/>
        <v>25</v>
      </c>
      <c r="I66" s="18">
        <f t="shared" si="12"/>
        <v>47</v>
      </c>
      <c r="J66" s="18">
        <f t="shared" si="12"/>
        <v>45.4</v>
      </c>
      <c r="K66" s="47">
        <f t="shared" si="12"/>
        <v>19</v>
      </c>
      <c r="L66" s="47">
        <f t="shared" si="12"/>
        <v>80</v>
      </c>
      <c r="M66" s="20"/>
      <c r="N66" s="20">
        <f t="shared" si="1"/>
        <v>463</v>
      </c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K67" s="50"/>
      <c r="L67" s="50"/>
      <c r="N67" s="17">
        <f t="shared" si="1"/>
        <v>0</v>
      </c>
    </row>
    <row r="68">
      <c r="A68" s="63">
        <v>45820.0</v>
      </c>
      <c r="B68" s="12"/>
      <c r="C68" s="12"/>
      <c r="D68" s="12"/>
      <c r="E68" s="12"/>
      <c r="F68" s="12"/>
      <c r="G68" s="12"/>
      <c r="H68" s="12"/>
      <c r="I68" s="12"/>
      <c r="J68" s="12"/>
      <c r="K68" s="50"/>
      <c r="L68" s="50"/>
      <c r="N68" s="17">
        <f t="shared" si="1"/>
        <v>0</v>
      </c>
    </row>
    <row r="69">
      <c r="A69" s="13" t="s">
        <v>14</v>
      </c>
      <c r="B69" s="13" t="s">
        <v>15</v>
      </c>
      <c r="C69" s="13" t="s">
        <v>16</v>
      </c>
      <c r="D69" s="13" t="s">
        <v>17</v>
      </c>
      <c r="E69" s="13" t="s">
        <v>18</v>
      </c>
      <c r="F69" s="13" t="s">
        <v>19</v>
      </c>
      <c r="G69" s="30" t="s">
        <v>20</v>
      </c>
      <c r="H69" s="30" t="s">
        <v>21</v>
      </c>
      <c r="I69" s="13" t="s">
        <v>22</v>
      </c>
      <c r="J69" s="13" t="s">
        <v>23</v>
      </c>
      <c r="K69" s="44" t="s">
        <v>24</v>
      </c>
      <c r="L69" s="44" t="s">
        <v>25</v>
      </c>
      <c r="N69" s="17">
        <f t="shared" si="1"/>
        <v>0</v>
      </c>
    </row>
    <row r="70">
      <c r="A70" s="15" t="s">
        <v>26</v>
      </c>
      <c r="B70" s="16">
        <v>52.0</v>
      </c>
      <c r="C70" s="16">
        <v>18.0</v>
      </c>
      <c r="D70" s="16">
        <v>19.0</v>
      </c>
      <c r="E70" s="16">
        <v>6.3</v>
      </c>
      <c r="F70" s="16">
        <v>15.4</v>
      </c>
      <c r="G70" s="16">
        <v>13.6</v>
      </c>
      <c r="H70" s="16">
        <v>12.0</v>
      </c>
      <c r="I70" s="16">
        <v>16.9</v>
      </c>
      <c r="J70" s="16">
        <v>28.4</v>
      </c>
      <c r="K70" s="45">
        <v>19.0</v>
      </c>
      <c r="L70" s="45">
        <v>89.0</v>
      </c>
      <c r="N70" s="17">
        <f t="shared" si="1"/>
        <v>289.6</v>
      </c>
    </row>
    <row r="71">
      <c r="A71" s="15" t="s">
        <v>27</v>
      </c>
      <c r="B71" s="16">
        <v>20.0</v>
      </c>
      <c r="C71" s="16">
        <v>14.0</v>
      </c>
      <c r="D71" s="16">
        <v>9.0</v>
      </c>
      <c r="E71" s="16">
        <v>30.0</v>
      </c>
      <c r="F71" s="16">
        <v>20.0</v>
      </c>
      <c r="G71" s="33">
        <v>20.0</v>
      </c>
      <c r="H71" s="33">
        <v>4.0</v>
      </c>
      <c r="I71" s="16">
        <v>30.0</v>
      </c>
      <c r="J71" s="16">
        <v>25.0</v>
      </c>
      <c r="K71" s="45">
        <v>2.0</v>
      </c>
      <c r="L71" s="45">
        <v>0.0</v>
      </c>
      <c r="N71" s="17">
        <f t="shared" si="1"/>
        <v>174</v>
      </c>
    </row>
    <row r="72">
      <c r="A72" s="18" t="s">
        <v>28</v>
      </c>
      <c r="B72" s="18">
        <f t="shared" ref="B72:L72" si="13">SUM(B70:B71)</f>
        <v>72</v>
      </c>
      <c r="C72" s="18">
        <f t="shared" si="13"/>
        <v>32</v>
      </c>
      <c r="D72" s="18">
        <f t="shared" si="13"/>
        <v>28</v>
      </c>
      <c r="E72" s="18">
        <f t="shared" si="13"/>
        <v>36.3</v>
      </c>
      <c r="F72" s="18">
        <f t="shared" si="13"/>
        <v>35.4</v>
      </c>
      <c r="G72" s="18">
        <f t="shared" si="13"/>
        <v>33.6</v>
      </c>
      <c r="H72" s="18">
        <f t="shared" si="13"/>
        <v>16</v>
      </c>
      <c r="I72" s="18">
        <f t="shared" si="13"/>
        <v>46.9</v>
      </c>
      <c r="J72" s="18">
        <f t="shared" si="13"/>
        <v>53.4</v>
      </c>
      <c r="K72" s="47">
        <f t="shared" si="13"/>
        <v>21</v>
      </c>
      <c r="L72" s="47">
        <f t="shared" si="13"/>
        <v>89</v>
      </c>
      <c r="M72" s="20"/>
      <c r="N72" s="20">
        <f t="shared" si="1"/>
        <v>463.6</v>
      </c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K73" s="50"/>
      <c r="L73" s="50"/>
      <c r="N73" s="17">
        <f t="shared" si="1"/>
        <v>0</v>
      </c>
    </row>
    <row r="74">
      <c r="A74" s="63">
        <v>45821.0</v>
      </c>
      <c r="B74" s="12"/>
      <c r="C74" s="12"/>
      <c r="D74" s="12"/>
      <c r="E74" s="12"/>
      <c r="F74" s="12"/>
      <c r="G74" s="29"/>
      <c r="H74" s="29"/>
      <c r="I74" s="12"/>
      <c r="J74" s="12"/>
      <c r="K74" s="50"/>
      <c r="L74" s="50"/>
      <c r="N74" s="17">
        <f t="shared" si="1"/>
        <v>0</v>
      </c>
    </row>
    <row r="75">
      <c r="A75" s="13" t="s">
        <v>14</v>
      </c>
      <c r="B75" s="13" t="s">
        <v>15</v>
      </c>
      <c r="C75" s="13" t="s">
        <v>16</v>
      </c>
      <c r="D75" s="13" t="s">
        <v>17</v>
      </c>
      <c r="E75" s="13" t="s">
        <v>18</v>
      </c>
      <c r="F75" s="13" t="s">
        <v>19</v>
      </c>
      <c r="G75" s="30" t="s">
        <v>20</v>
      </c>
      <c r="H75" s="30" t="s">
        <v>21</v>
      </c>
      <c r="I75" s="13" t="s">
        <v>22</v>
      </c>
      <c r="J75" s="13" t="s">
        <v>23</v>
      </c>
      <c r="K75" s="44" t="s">
        <v>24</v>
      </c>
      <c r="L75" s="44" t="s">
        <v>25</v>
      </c>
      <c r="N75" s="17">
        <f t="shared" si="1"/>
        <v>0</v>
      </c>
    </row>
    <row r="76">
      <c r="A76" s="15" t="s">
        <v>26</v>
      </c>
      <c r="B76" s="16">
        <v>48.0</v>
      </c>
      <c r="C76" s="16">
        <v>14.0</v>
      </c>
      <c r="D76" s="16">
        <v>0.0</v>
      </c>
      <c r="E76" s="16">
        <v>7.0</v>
      </c>
      <c r="F76" s="16">
        <v>3.2</v>
      </c>
      <c r="G76" s="33">
        <v>20.0</v>
      </c>
      <c r="H76" s="33">
        <v>15.0</v>
      </c>
      <c r="I76" s="16">
        <v>8.0</v>
      </c>
      <c r="J76" s="16">
        <v>17.0</v>
      </c>
      <c r="K76" s="45">
        <v>17.0</v>
      </c>
      <c r="L76" s="45">
        <v>87.0</v>
      </c>
      <c r="N76" s="17">
        <f t="shared" si="1"/>
        <v>236.2</v>
      </c>
    </row>
    <row r="77">
      <c r="A77" s="15" t="s">
        <v>27</v>
      </c>
      <c r="B77" s="16">
        <v>6.0</v>
      </c>
      <c r="C77" s="16">
        <v>16.0</v>
      </c>
      <c r="D77" s="16">
        <v>0.0</v>
      </c>
      <c r="E77" s="16">
        <v>10.0</v>
      </c>
      <c r="F77" s="16">
        <v>12.0</v>
      </c>
      <c r="G77" s="33">
        <v>25.0</v>
      </c>
      <c r="H77" s="33">
        <v>10.0</v>
      </c>
      <c r="I77" s="16">
        <v>15.0</v>
      </c>
      <c r="J77" s="16">
        <v>16.0</v>
      </c>
      <c r="K77" s="45">
        <v>2.0</v>
      </c>
      <c r="L77" s="45">
        <v>0.0</v>
      </c>
      <c r="N77" s="17">
        <f t="shared" si="1"/>
        <v>112</v>
      </c>
    </row>
    <row r="78">
      <c r="A78" s="18" t="s">
        <v>28</v>
      </c>
      <c r="B78" s="18">
        <f t="shared" ref="B78:L78" si="14">SUM(B76:B77)</f>
        <v>54</v>
      </c>
      <c r="C78" s="18">
        <f t="shared" si="14"/>
        <v>30</v>
      </c>
      <c r="D78" s="18">
        <f t="shared" si="14"/>
        <v>0</v>
      </c>
      <c r="E78" s="18">
        <f t="shared" si="14"/>
        <v>17</v>
      </c>
      <c r="F78" s="18">
        <f t="shared" si="14"/>
        <v>15.2</v>
      </c>
      <c r="G78" s="18">
        <f t="shared" si="14"/>
        <v>45</v>
      </c>
      <c r="H78" s="18">
        <f t="shared" si="14"/>
        <v>25</v>
      </c>
      <c r="I78" s="18">
        <f t="shared" si="14"/>
        <v>23</v>
      </c>
      <c r="J78" s="18">
        <f t="shared" si="14"/>
        <v>33</v>
      </c>
      <c r="K78" s="47">
        <f t="shared" si="14"/>
        <v>19</v>
      </c>
      <c r="L78" s="47">
        <f t="shared" si="14"/>
        <v>87</v>
      </c>
      <c r="M78" s="20"/>
      <c r="N78" s="20">
        <f t="shared" si="1"/>
        <v>348.2</v>
      </c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K79" s="50"/>
      <c r="L79" s="50"/>
      <c r="N79" s="17">
        <f t="shared" si="1"/>
        <v>0</v>
      </c>
    </row>
    <row r="80">
      <c r="A80" s="63">
        <v>45822.0</v>
      </c>
      <c r="B80" s="12"/>
      <c r="C80" s="12"/>
      <c r="D80" s="12"/>
      <c r="E80" s="12"/>
      <c r="F80" s="12"/>
      <c r="G80" s="12"/>
      <c r="H80" s="12"/>
      <c r="I80" s="12"/>
      <c r="J80" s="12"/>
      <c r="K80" s="50"/>
      <c r="L80" s="50"/>
      <c r="N80" s="17">
        <f t="shared" si="1"/>
        <v>0</v>
      </c>
    </row>
    <row r="81">
      <c r="A81" s="13" t="s">
        <v>14</v>
      </c>
      <c r="B81" s="13" t="s">
        <v>15</v>
      </c>
      <c r="C81" s="13" t="s">
        <v>16</v>
      </c>
      <c r="D81" s="13" t="s">
        <v>17</v>
      </c>
      <c r="E81" s="13" t="s">
        <v>18</v>
      </c>
      <c r="F81" s="13" t="s">
        <v>19</v>
      </c>
      <c r="G81" s="30" t="s">
        <v>20</v>
      </c>
      <c r="H81" s="30" t="s">
        <v>21</v>
      </c>
      <c r="I81" s="13" t="s">
        <v>22</v>
      </c>
      <c r="J81" s="13" t="s">
        <v>23</v>
      </c>
      <c r="K81" s="44" t="s">
        <v>24</v>
      </c>
      <c r="L81" s="44" t="s">
        <v>25</v>
      </c>
      <c r="N81" s="17">
        <f t="shared" si="1"/>
        <v>0</v>
      </c>
    </row>
    <row r="82">
      <c r="A82" s="15" t="s">
        <v>26</v>
      </c>
      <c r="B82" s="16">
        <v>62.0</v>
      </c>
      <c r="C82" s="16">
        <v>11.0</v>
      </c>
      <c r="D82" s="16">
        <v>0.0</v>
      </c>
      <c r="E82" s="16">
        <v>6.4</v>
      </c>
      <c r="F82" s="16">
        <v>14.7</v>
      </c>
      <c r="G82" s="16">
        <v>13.6</v>
      </c>
      <c r="H82" s="16">
        <v>12.0</v>
      </c>
      <c r="I82" s="16">
        <v>11.2</v>
      </c>
      <c r="J82" s="16">
        <v>28.4</v>
      </c>
      <c r="K82" s="45">
        <v>19.0</v>
      </c>
      <c r="L82" s="45">
        <v>88.0</v>
      </c>
      <c r="N82" s="17">
        <f t="shared" si="1"/>
        <v>266.3</v>
      </c>
    </row>
    <row r="83">
      <c r="A83" s="15" t="s">
        <v>27</v>
      </c>
      <c r="B83" s="16">
        <v>48.0</v>
      </c>
      <c r="C83" s="16">
        <v>3.0</v>
      </c>
      <c r="D83" s="16">
        <v>0.0</v>
      </c>
      <c r="E83" s="16">
        <v>0.0</v>
      </c>
      <c r="F83" s="16">
        <v>0.0</v>
      </c>
      <c r="G83" s="33">
        <v>0.0</v>
      </c>
      <c r="H83" s="33">
        <v>0.0</v>
      </c>
      <c r="I83" s="16">
        <v>0.0</v>
      </c>
      <c r="J83" s="16">
        <v>0.0</v>
      </c>
      <c r="K83" s="45">
        <v>1.0</v>
      </c>
      <c r="L83" s="45">
        <v>0.0</v>
      </c>
      <c r="N83" s="17">
        <f t="shared" si="1"/>
        <v>52</v>
      </c>
    </row>
    <row r="84">
      <c r="A84" s="18" t="s">
        <v>28</v>
      </c>
      <c r="B84" s="18">
        <f t="shared" ref="B84:L84" si="15">SUM(B82:B83)</f>
        <v>110</v>
      </c>
      <c r="C84" s="18">
        <f t="shared" si="15"/>
        <v>14</v>
      </c>
      <c r="D84" s="18">
        <f t="shared" si="15"/>
        <v>0</v>
      </c>
      <c r="E84" s="18">
        <f t="shared" si="15"/>
        <v>6.4</v>
      </c>
      <c r="F84" s="18">
        <f t="shared" si="15"/>
        <v>14.7</v>
      </c>
      <c r="G84" s="18">
        <f t="shared" si="15"/>
        <v>13.6</v>
      </c>
      <c r="H84" s="18">
        <f t="shared" si="15"/>
        <v>12</v>
      </c>
      <c r="I84" s="18">
        <f t="shared" si="15"/>
        <v>11.2</v>
      </c>
      <c r="J84" s="18">
        <f t="shared" si="15"/>
        <v>28.4</v>
      </c>
      <c r="K84" s="47">
        <f t="shared" si="15"/>
        <v>20</v>
      </c>
      <c r="L84" s="47">
        <f t="shared" si="15"/>
        <v>88</v>
      </c>
      <c r="M84" s="20"/>
      <c r="N84" s="20">
        <f t="shared" si="1"/>
        <v>318.3</v>
      </c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K85" s="50"/>
      <c r="L85" s="50"/>
      <c r="N85" s="17">
        <f t="shared" si="1"/>
        <v>0</v>
      </c>
    </row>
    <row r="86">
      <c r="A86" s="63">
        <v>45823.0</v>
      </c>
      <c r="B86" s="12"/>
      <c r="C86" s="12"/>
      <c r="D86" s="12"/>
      <c r="E86" s="12"/>
      <c r="F86" s="12"/>
      <c r="G86" s="29"/>
      <c r="H86" s="29"/>
      <c r="I86" s="12"/>
      <c r="J86" s="12"/>
      <c r="K86" s="50"/>
      <c r="L86" s="50"/>
      <c r="N86" s="17">
        <f t="shared" si="1"/>
        <v>0</v>
      </c>
    </row>
    <row r="87">
      <c r="A87" s="13" t="s">
        <v>14</v>
      </c>
      <c r="B87" s="13" t="s">
        <v>15</v>
      </c>
      <c r="C87" s="13" t="s">
        <v>16</v>
      </c>
      <c r="D87" s="13" t="s">
        <v>17</v>
      </c>
      <c r="E87" s="13" t="s">
        <v>18</v>
      </c>
      <c r="F87" s="13" t="s">
        <v>19</v>
      </c>
      <c r="G87" s="30" t="s">
        <v>20</v>
      </c>
      <c r="H87" s="30" t="s">
        <v>21</v>
      </c>
      <c r="I87" s="13" t="s">
        <v>22</v>
      </c>
      <c r="J87" s="13" t="s">
        <v>23</v>
      </c>
      <c r="K87" s="44" t="s">
        <v>24</v>
      </c>
      <c r="L87" s="44" t="s">
        <v>25</v>
      </c>
      <c r="N87" s="17">
        <f t="shared" si="1"/>
        <v>0</v>
      </c>
    </row>
    <row r="88">
      <c r="A88" s="15" t="s">
        <v>26</v>
      </c>
      <c r="B88" s="16">
        <v>14.0</v>
      </c>
      <c r="C88" s="16">
        <v>16.0</v>
      </c>
      <c r="D88" s="16">
        <v>30.0</v>
      </c>
      <c r="E88" s="16">
        <v>3.2</v>
      </c>
      <c r="F88" s="16">
        <v>5.4</v>
      </c>
      <c r="G88" s="33">
        <v>20.0</v>
      </c>
      <c r="H88" s="33">
        <v>15.0</v>
      </c>
      <c r="I88" s="16">
        <v>25.2</v>
      </c>
      <c r="J88" s="16">
        <v>18.5</v>
      </c>
      <c r="K88" s="45">
        <v>19.0</v>
      </c>
      <c r="L88" s="45">
        <v>70.0</v>
      </c>
      <c r="N88" s="17">
        <f t="shared" si="1"/>
        <v>236.3</v>
      </c>
    </row>
    <row r="89">
      <c r="A89" s="15" t="s">
        <v>27</v>
      </c>
      <c r="B89" s="16">
        <v>7.0</v>
      </c>
      <c r="C89" s="16">
        <v>9.0</v>
      </c>
      <c r="D89" s="16">
        <v>17.0</v>
      </c>
      <c r="E89" s="16">
        <v>12.0</v>
      </c>
      <c r="F89" s="16">
        <v>15.0</v>
      </c>
      <c r="G89" s="33">
        <v>20.0</v>
      </c>
      <c r="H89" s="33">
        <v>4.0</v>
      </c>
      <c r="I89" s="16">
        <v>10.0</v>
      </c>
      <c r="J89" s="16">
        <v>12.0</v>
      </c>
      <c r="K89" s="45">
        <v>1.0</v>
      </c>
      <c r="L89" s="45">
        <v>1.0</v>
      </c>
      <c r="N89" s="17">
        <f t="shared" si="1"/>
        <v>108</v>
      </c>
    </row>
    <row r="90">
      <c r="A90" s="18" t="s">
        <v>28</v>
      </c>
      <c r="B90" s="18">
        <f t="shared" ref="B90:L90" si="16">SUM(B88:B89)</f>
        <v>21</v>
      </c>
      <c r="C90" s="18">
        <f t="shared" si="16"/>
        <v>25</v>
      </c>
      <c r="D90" s="18">
        <f t="shared" si="16"/>
        <v>47</v>
      </c>
      <c r="E90" s="18">
        <f t="shared" si="16"/>
        <v>15.2</v>
      </c>
      <c r="F90" s="18">
        <f t="shared" si="16"/>
        <v>20.4</v>
      </c>
      <c r="G90" s="18">
        <f t="shared" si="16"/>
        <v>40</v>
      </c>
      <c r="H90" s="18">
        <f t="shared" si="16"/>
        <v>19</v>
      </c>
      <c r="I90" s="18">
        <f t="shared" si="16"/>
        <v>35.2</v>
      </c>
      <c r="J90" s="18">
        <f t="shared" si="16"/>
        <v>30.5</v>
      </c>
      <c r="K90" s="47">
        <f t="shared" si="16"/>
        <v>20</v>
      </c>
      <c r="L90" s="47">
        <f t="shared" si="16"/>
        <v>71</v>
      </c>
      <c r="M90" s="20"/>
      <c r="N90" s="20">
        <f t="shared" si="1"/>
        <v>344.3</v>
      </c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K91" s="59"/>
      <c r="L91" s="59"/>
      <c r="N91" s="17">
        <f t="shared" si="1"/>
        <v>0</v>
      </c>
    </row>
    <row r="92">
      <c r="A92" s="63">
        <v>45824.0</v>
      </c>
      <c r="B92" s="12"/>
      <c r="C92" s="12"/>
      <c r="D92" s="12"/>
      <c r="E92" s="12"/>
      <c r="F92" s="12"/>
      <c r="G92" s="12"/>
      <c r="H92" s="12"/>
      <c r="I92" s="12"/>
      <c r="J92" s="12"/>
      <c r="K92" s="50"/>
      <c r="L92" s="50"/>
      <c r="N92" s="17">
        <f t="shared" si="1"/>
        <v>0</v>
      </c>
    </row>
    <row r="93">
      <c r="A93" s="13" t="s">
        <v>14</v>
      </c>
      <c r="B93" s="13" t="s">
        <v>15</v>
      </c>
      <c r="C93" s="13" t="s">
        <v>16</v>
      </c>
      <c r="D93" s="13" t="s">
        <v>17</v>
      </c>
      <c r="E93" s="13" t="s">
        <v>18</v>
      </c>
      <c r="F93" s="13" t="s">
        <v>19</v>
      </c>
      <c r="G93" s="30" t="s">
        <v>20</v>
      </c>
      <c r="H93" s="30" t="s">
        <v>21</v>
      </c>
      <c r="I93" s="13" t="s">
        <v>22</v>
      </c>
      <c r="J93" s="13" t="s">
        <v>23</v>
      </c>
      <c r="K93" s="44" t="s">
        <v>24</v>
      </c>
      <c r="L93" s="44" t="s">
        <v>25</v>
      </c>
      <c r="N93" s="17">
        <f t="shared" si="1"/>
        <v>0</v>
      </c>
    </row>
    <row r="94">
      <c r="A94" s="15" t="s">
        <v>26</v>
      </c>
      <c r="B94" s="16">
        <v>76.0</v>
      </c>
      <c r="C94" s="16">
        <v>30.0</v>
      </c>
      <c r="D94" s="16">
        <v>10.0</v>
      </c>
      <c r="E94" s="16">
        <v>10.0</v>
      </c>
      <c r="F94" s="16">
        <v>32.0</v>
      </c>
      <c r="G94" s="16">
        <v>13.6</v>
      </c>
      <c r="H94" s="16">
        <v>12.0</v>
      </c>
      <c r="I94" s="16">
        <v>10.0</v>
      </c>
      <c r="J94" s="16">
        <v>15.0</v>
      </c>
      <c r="K94" s="45">
        <v>20.0</v>
      </c>
      <c r="L94" s="45">
        <v>86.0</v>
      </c>
      <c r="N94" s="17">
        <f t="shared" si="1"/>
        <v>314.6</v>
      </c>
    </row>
    <row r="95">
      <c r="A95" s="15" t="s">
        <v>27</v>
      </c>
      <c r="B95" s="16">
        <v>24.0</v>
      </c>
      <c r="C95" s="16">
        <v>20.0</v>
      </c>
      <c r="D95" s="16">
        <v>0.0</v>
      </c>
      <c r="E95" s="16">
        <v>0.0</v>
      </c>
      <c r="F95" s="16">
        <v>0.0</v>
      </c>
      <c r="G95" s="33">
        <v>20.0</v>
      </c>
      <c r="H95" s="33">
        <v>4.0</v>
      </c>
      <c r="I95" s="16">
        <v>0.0</v>
      </c>
      <c r="J95" s="16">
        <v>0.0</v>
      </c>
      <c r="K95" s="45">
        <v>1.0</v>
      </c>
      <c r="L95" s="45">
        <v>0.0</v>
      </c>
      <c r="N95" s="17">
        <f t="shared" si="1"/>
        <v>69</v>
      </c>
    </row>
    <row r="96">
      <c r="A96" s="18" t="s">
        <v>28</v>
      </c>
      <c r="B96" s="18">
        <f t="shared" ref="B96:L96" si="17">SUM(B94:B95)</f>
        <v>100</v>
      </c>
      <c r="C96" s="18">
        <f t="shared" si="17"/>
        <v>50</v>
      </c>
      <c r="D96" s="18">
        <f t="shared" si="17"/>
        <v>10</v>
      </c>
      <c r="E96" s="18">
        <f t="shared" si="17"/>
        <v>10</v>
      </c>
      <c r="F96" s="18">
        <f t="shared" si="17"/>
        <v>32</v>
      </c>
      <c r="G96" s="18">
        <f t="shared" si="17"/>
        <v>33.6</v>
      </c>
      <c r="H96" s="18">
        <f t="shared" si="17"/>
        <v>16</v>
      </c>
      <c r="I96" s="18">
        <f t="shared" si="17"/>
        <v>10</v>
      </c>
      <c r="J96" s="18">
        <f t="shared" si="17"/>
        <v>15</v>
      </c>
      <c r="K96" s="47">
        <f t="shared" si="17"/>
        <v>21</v>
      </c>
      <c r="L96" s="47">
        <f t="shared" si="17"/>
        <v>86</v>
      </c>
      <c r="M96" s="20"/>
      <c r="N96" s="20">
        <f t="shared" si="1"/>
        <v>383.6</v>
      </c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K97" s="50"/>
      <c r="L97" s="50"/>
      <c r="N97" s="17">
        <f t="shared" si="1"/>
        <v>0</v>
      </c>
    </row>
    <row r="98">
      <c r="A98" s="63">
        <v>45825.0</v>
      </c>
      <c r="B98" s="12"/>
      <c r="C98" s="12"/>
      <c r="D98" s="12"/>
      <c r="E98" s="12"/>
      <c r="F98" s="12"/>
      <c r="G98" s="29"/>
      <c r="H98" s="29"/>
      <c r="I98" s="12"/>
      <c r="J98" s="12"/>
      <c r="K98" s="50"/>
      <c r="L98" s="50"/>
      <c r="N98" s="17">
        <f t="shared" si="1"/>
        <v>0</v>
      </c>
    </row>
    <row r="99">
      <c r="A99" s="13" t="s">
        <v>14</v>
      </c>
      <c r="B99" s="13" t="s">
        <v>15</v>
      </c>
      <c r="C99" s="13" t="s">
        <v>16</v>
      </c>
      <c r="D99" s="13" t="s">
        <v>17</v>
      </c>
      <c r="E99" s="13" t="s">
        <v>18</v>
      </c>
      <c r="F99" s="13" t="s">
        <v>19</v>
      </c>
      <c r="G99" s="30" t="s">
        <v>20</v>
      </c>
      <c r="H99" s="30" t="s">
        <v>21</v>
      </c>
      <c r="I99" s="13" t="s">
        <v>22</v>
      </c>
      <c r="J99" s="13" t="s">
        <v>23</v>
      </c>
      <c r="K99" s="44" t="s">
        <v>24</v>
      </c>
      <c r="L99" s="44" t="s">
        <v>25</v>
      </c>
      <c r="N99" s="17">
        <f t="shared" si="1"/>
        <v>0</v>
      </c>
    </row>
    <row r="100">
      <c r="A100" s="15" t="s">
        <v>26</v>
      </c>
      <c r="B100" s="16">
        <v>14.0</v>
      </c>
      <c r="C100" s="16">
        <v>27.0</v>
      </c>
      <c r="D100" s="16">
        <v>25.0</v>
      </c>
      <c r="E100" s="16">
        <v>6.4</v>
      </c>
      <c r="F100" s="16">
        <v>14.7</v>
      </c>
      <c r="G100" s="33">
        <v>20.0</v>
      </c>
      <c r="H100" s="33">
        <v>15.0</v>
      </c>
      <c r="I100" s="16">
        <v>11.2</v>
      </c>
      <c r="J100" s="16">
        <v>28.4</v>
      </c>
      <c r="K100" s="45">
        <v>25.0</v>
      </c>
      <c r="L100" s="45">
        <v>80.0</v>
      </c>
      <c r="N100" s="17">
        <f t="shared" si="1"/>
        <v>266.7</v>
      </c>
    </row>
    <row r="101">
      <c r="A101" s="15" t="s">
        <v>27</v>
      </c>
      <c r="B101" s="16">
        <v>8.0</v>
      </c>
      <c r="C101" s="16">
        <v>13.0</v>
      </c>
      <c r="D101" s="16">
        <v>10.0</v>
      </c>
      <c r="E101" s="16">
        <v>0.0</v>
      </c>
      <c r="F101" s="16">
        <v>0.0</v>
      </c>
      <c r="G101" s="33">
        <v>25.0</v>
      </c>
      <c r="H101" s="33">
        <v>10.0</v>
      </c>
      <c r="I101" s="16">
        <v>0.0</v>
      </c>
      <c r="J101" s="16">
        <v>0.0</v>
      </c>
      <c r="K101" s="45">
        <v>2.0</v>
      </c>
      <c r="L101" s="45">
        <v>0.0</v>
      </c>
      <c r="N101" s="17">
        <f t="shared" si="1"/>
        <v>68</v>
      </c>
    </row>
    <row r="102">
      <c r="A102" s="18" t="s">
        <v>28</v>
      </c>
      <c r="B102" s="18">
        <f t="shared" ref="B102:L102" si="18">SUM(B100:B101)</f>
        <v>22</v>
      </c>
      <c r="C102" s="18">
        <f t="shared" si="18"/>
        <v>40</v>
      </c>
      <c r="D102" s="18">
        <f t="shared" si="18"/>
        <v>35</v>
      </c>
      <c r="E102" s="18">
        <f t="shared" si="18"/>
        <v>6.4</v>
      </c>
      <c r="F102" s="18">
        <f t="shared" si="18"/>
        <v>14.7</v>
      </c>
      <c r="G102" s="18">
        <f t="shared" si="18"/>
        <v>45</v>
      </c>
      <c r="H102" s="18">
        <f t="shared" si="18"/>
        <v>25</v>
      </c>
      <c r="I102" s="18">
        <f t="shared" si="18"/>
        <v>11.2</v>
      </c>
      <c r="J102" s="18">
        <f t="shared" si="18"/>
        <v>28.4</v>
      </c>
      <c r="K102" s="47">
        <f t="shared" si="18"/>
        <v>27</v>
      </c>
      <c r="L102" s="47">
        <f t="shared" si="18"/>
        <v>80</v>
      </c>
      <c r="M102" s="20"/>
      <c r="N102" s="20">
        <f t="shared" si="1"/>
        <v>334.7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K103" s="50"/>
      <c r="L103" s="50"/>
      <c r="N103" s="17">
        <f t="shared" si="1"/>
        <v>0</v>
      </c>
    </row>
    <row r="104">
      <c r="A104" s="63">
        <v>45826.0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50"/>
      <c r="L104" s="50"/>
      <c r="N104" s="17">
        <f t="shared" si="1"/>
        <v>0</v>
      </c>
    </row>
    <row r="105">
      <c r="A105" s="13" t="s">
        <v>14</v>
      </c>
      <c r="B105" s="13" t="s">
        <v>15</v>
      </c>
      <c r="C105" s="13" t="s">
        <v>16</v>
      </c>
      <c r="D105" s="13" t="s">
        <v>17</v>
      </c>
      <c r="E105" s="13" t="s">
        <v>18</v>
      </c>
      <c r="F105" s="13" t="s">
        <v>19</v>
      </c>
      <c r="G105" s="30" t="s">
        <v>20</v>
      </c>
      <c r="H105" s="30" t="s">
        <v>21</v>
      </c>
      <c r="I105" s="13" t="s">
        <v>22</v>
      </c>
      <c r="J105" s="13" t="s">
        <v>23</v>
      </c>
      <c r="K105" s="44" t="s">
        <v>24</v>
      </c>
      <c r="L105" s="44" t="s">
        <v>25</v>
      </c>
      <c r="N105" s="17">
        <f t="shared" si="1"/>
        <v>0</v>
      </c>
    </row>
    <row r="106">
      <c r="A106" s="15" t="s">
        <v>26</v>
      </c>
      <c r="B106" s="16">
        <v>96.0</v>
      </c>
      <c r="C106" s="16">
        <v>19.0</v>
      </c>
      <c r="D106" s="16">
        <v>0.0</v>
      </c>
      <c r="E106" s="16">
        <v>25.0</v>
      </c>
      <c r="F106" s="16">
        <v>26.0</v>
      </c>
      <c r="G106" s="16">
        <v>13.6</v>
      </c>
      <c r="H106" s="16">
        <v>12.0</v>
      </c>
      <c r="I106" s="16">
        <v>25.0</v>
      </c>
      <c r="J106" s="16">
        <v>25.0</v>
      </c>
      <c r="K106" s="45">
        <v>26.0</v>
      </c>
      <c r="L106" s="45">
        <v>79.0</v>
      </c>
      <c r="N106" s="17">
        <f t="shared" si="1"/>
        <v>346.6</v>
      </c>
    </row>
    <row r="107">
      <c r="A107" s="15" t="s">
        <v>27</v>
      </c>
      <c r="B107" s="16">
        <v>36.0</v>
      </c>
      <c r="C107" s="16">
        <v>20.0</v>
      </c>
      <c r="D107" s="16">
        <v>0.0</v>
      </c>
      <c r="E107" s="16">
        <v>12.0</v>
      </c>
      <c r="F107" s="16">
        <v>12.0</v>
      </c>
      <c r="G107" s="33">
        <v>20.0</v>
      </c>
      <c r="H107" s="33">
        <v>4.0</v>
      </c>
      <c r="I107" s="16">
        <v>10.0</v>
      </c>
      <c r="J107" s="16">
        <v>10.0</v>
      </c>
      <c r="K107" s="45">
        <v>1.0</v>
      </c>
      <c r="L107" s="45">
        <v>0.0</v>
      </c>
      <c r="N107" s="17">
        <f t="shared" si="1"/>
        <v>125</v>
      </c>
    </row>
    <row r="108">
      <c r="A108" s="18" t="s">
        <v>28</v>
      </c>
      <c r="B108" s="18">
        <f t="shared" ref="B108:L108" si="19">SUM(B106:B107)</f>
        <v>132</v>
      </c>
      <c r="C108" s="18">
        <f t="shared" si="19"/>
        <v>39</v>
      </c>
      <c r="D108" s="18">
        <f t="shared" si="19"/>
        <v>0</v>
      </c>
      <c r="E108" s="18">
        <f t="shared" si="19"/>
        <v>37</v>
      </c>
      <c r="F108" s="18">
        <f t="shared" si="19"/>
        <v>38</v>
      </c>
      <c r="G108" s="18">
        <f t="shared" si="19"/>
        <v>33.6</v>
      </c>
      <c r="H108" s="18">
        <f t="shared" si="19"/>
        <v>16</v>
      </c>
      <c r="I108" s="18">
        <f t="shared" si="19"/>
        <v>35</v>
      </c>
      <c r="J108" s="18">
        <f t="shared" si="19"/>
        <v>35</v>
      </c>
      <c r="K108" s="47">
        <f t="shared" si="19"/>
        <v>27</v>
      </c>
      <c r="L108" s="47">
        <f t="shared" si="19"/>
        <v>79</v>
      </c>
      <c r="M108" s="20"/>
      <c r="N108" s="20">
        <f t="shared" si="1"/>
        <v>471.6</v>
      </c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K109" s="50"/>
      <c r="L109" s="50"/>
      <c r="N109" s="17">
        <f t="shared" si="1"/>
        <v>0</v>
      </c>
    </row>
    <row r="110">
      <c r="A110" s="63">
        <v>45827.0</v>
      </c>
      <c r="B110" s="12"/>
      <c r="C110" s="12"/>
      <c r="D110" s="12"/>
      <c r="E110" s="12"/>
      <c r="F110" s="12"/>
      <c r="G110" s="29"/>
      <c r="H110" s="29"/>
      <c r="I110" s="12"/>
      <c r="J110" s="12"/>
      <c r="K110" s="50"/>
      <c r="L110" s="50"/>
      <c r="N110" s="17">
        <f t="shared" si="1"/>
        <v>0</v>
      </c>
    </row>
    <row r="111">
      <c r="A111" s="13" t="s">
        <v>14</v>
      </c>
      <c r="B111" s="13" t="s">
        <v>15</v>
      </c>
      <c r="C111" s="13" t="s">
        <v>16</v>
      </c>
      <c r="D111" s="13" t="s">
        <v>17</v>
      </c>
      <c r="E111" s="13" t="s">
        <v>18</v>
      </c>
      <c r="F111" s="13" t="s">
        <v>19</v>
      </c>
      <c r="G111" s="30" t="s">
        <v>20</v>
      </c>
      <c r="H111" s="30" t="s">
        <v>21</v>
      </c>
      <c r="I111" s="13" t="s">
        <v>22</v>
      </c>
      <c r="J111" s="13" t="s">
        <v>23</v>
      </c>
      <c r="K111" s="44" t="s">
        <v>24</v>
      </c>
      <c r="L111" s="44" t="s">
        <v>25</v>
      </c>
      <c r="N111" s="17">
        <f t="shared" si="1"/>
        <v>0</v>
      </c>
    </row>
    <row r="112">
      <c r="A112" s="15" t="s">
        <v>26</v>
      </c>
      <c r="B112" s="16">
        <v>140.0</v>
      </c>
      <c r="C112" s="16">
        <v>36.0</v>
      </c>
      <c r="D112" s="15">
        <v>30.0</v>
      </c>
      <c r="E112" s="16">
        <v>16.0</v>
      </c>
      <c r="F112" s="16">
        <v>10.0</v>
      </c>
      <c r="G112" s="33">
        <v>20.0</v>
      </c>
      <c r="H112" s="33">
        <v>15.0</v>
      </c>
      <c r="I112" s="16">
        <v>23.0</v>
      </c>
      <c r="J112" s="16">
        <v>10.0</v>
      </c>
      <c r="K112" s="45">
        <v>27.0</v>
      </c>
      <c r="L112" s="45">
        <v>80.0</v>
      </c>
      <c r="N112" s="17">
        <f t="shared" si="1"/>
        <v>407</v>
      </c>
    </row>
    <row r="113">
      <c r="A113" s="15" t="s">
        <v>27</v>
      </c>
      <c r="B113" s="16">
        <v>30.0</v>
      </c>
      <c r="C113" s="16">
        <v>20.0</v>
      </c>
      <c r="D113" s="16">
        <v>12.0</v>
      </c>
      <c r="E113" s="16">
        <v>0.0</v>
      </c>
      <c r="F113" s="16">
        <v>0.0</v>
      </c>
      <c r="G113" s="33">
        <v>25.0</v>
      </c>
      <c r="H113" s="33">
        <v>10.0</v>
      </c>
      <c r="I113" s="16">
        <v>0.0</v>
      </c>
      <c r="J113" s="16">
        <v>0.0</v>
      </c>
      <c r="K113" s="45">
        <v>1.0</v>
      </c>
      <c r="L113" s="45">
        <v>0.0</v>
      </c>
      <c r="N113" s="17">
        <f t="shared" si="1"/>
        <v>98</v>
      </c>
    </row>
    <row r="114">
      <c r="A114" s="18" t="s">
        <v>28</v>
      </c>
      <c r="B114" s="18">
        <f t="shared" ref="B114:L114" si="20">SUM(B112:B113)</f>
        <v>170</v>
      </c>
      <c r="C114" s="18">
        <f t="shared" si="20"/>
        <v>56</v>
      </c>
      <c r="D114" s="18">
        <f t="shared" si="20"/>
        <v>42</v>
      </c>
      <c r="E114" s="18">
        <f t="shared" si="20"/>
        <v>16</v>
      </c>
      <c r="F114" s="18">
        <f t="shared" si="20"/>
        <v>10</v>
      </c>
      <c r="G114" s="18">
        <f t="shared" si="20"/>
        <v>45</v>
      </c>
      <c r="H114" s="18">
        <f t="shared" si="20"/>
        <v>25</v>
      </c>
      <c r="I114" s="18">
        <f t="shared" si="20"/>
        <v>23</v>
      </c>
      <c r="J114" s="18">
        <f t="shared" si="20"/>
        <v>10</v>
      </c>
      <c r="K114" s="47">
        <f t="shared" si="20"/>
        <v>28</v>
      </c>
      <c r="L114" s="47">
        <f t="shared" si="20"/>
        <v>80</v>
      </c>
      <c r="M114" s="20"/>
      <c r="N114" s="20">
        <f t="shared" si="1"/>
        <v>505</v>
      </c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50"/>
      <c r="L115" s="50"/>
      <c r="N115" s="17">
        <f t="shared" si="1"/>
        <v>0</v>
      </c>
    </row>
    <row r="116">
      <c r="A116" s="64">
        <v>45828.0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50"/>
      <c r="L116" s="50"/>
      <c r="N116" s="17">
        <f t="shared" si="1"/>
        <v>0</v>
      </c>
    </row>
    <row r="117">
      <c r="A117" s="13" t="s">
        <v>14</v>
      </c>
      <c r="B117" s="13" t="s">
        <v>15</v>
      </c>
      <c r="C117" s="13" t="s">
        <v>16</v>
      </c>
      <c r="D117" s="13" t="s">
        <v>17</v>
      </c>
      <c r="E117" s="13" t="s">
        <v>18</v>
      </c>
      <c r="F117" s="13" t="s">
        <v>19</v>
      </c>
      <c r="G117" s="13" t="s">
        <v>20</v>
      </c>
      <c r="H117" s="13" t="s">
        <v>21</v>
      </c>
      <c r="I117" s="13" t="s">
        <v>22</v>
      </c>
      <c r="J117" s="13" t="s">
        <v>23</v>
      </c>
      <c r="K117" s="44" t="s">
        <v>24</v>
      </c>
      <c r="L117" s="44" t="s">
        <v>25</v>
      </c>
      <c r="N117" s="17">
        <f t="shared" si="1"/>
        <v>0</v>
      </c>
    </row>
    <row r="118">
      <c r="A118" s="15" t="s">
        <v>26</v>
      </c>
      <c r="B118" s="15">
        <v>30.0</v>
      </c>
      <c r="C118" s="16">
        <v>26.2</v>
      </c>
      <c r="D118" s="15">
        <v>35.0</v>
      </c>
      <c r="E118" s="16">
        <v>17.0</v>
      </c>
      <c r="F118" s="16">
        <v>25.0</v>
      </c>
      <c r="G118" s="15">
        <v>15.0</v>
      </c>
      <c r="H118" s="15">
        <v>9.0</v>
      </c>
      <c r="I118" s="16">
        <v>12.0</v>
      </c>
      <c r="J118" s="16">
        <v>25.0</v>
      </c>
      <c r="K118" s="45">
        <v>29.0</v>
      </c>
      <c r="L118" s="45">
        <v>89.0</v>
      </c>
      <c r="N118" s="17">
        <f t="shared" si="1"/>
        <v>312.2</v>
      </c>
    </row>
    <row r="119">
      <c r="A119" s="15" t="s">
        <v>27</v>
      </c>
      <c r="B119" s="16">
        <v>20.0</v>
      </c>
      <c r="C119" s="16">
        <v>12.0</v>
      </c>
      <c r="D119" s="16">
        <v>14.0</v>
      </c>
      <c r="E119" s="16">
        <v>0.0</v>
      </c>
      <c r="F119" s="16">
        <v>0.0</v>
      </c>
      <c r="G119" s="33">
        <v>25.0</v>
      </c>
      <c r="H119" s="33">
        <v>10.0</v>
      </c>
      <c r="I119" s="16">
        <v>0.0</v>
      </c>
      <c r="J119" s="16">
        <v>0.0</v>
      </c>
      <c r="K119" s="45">
        <v>1.0</v>
      </c>
      <c r="L119" s="45">
        <v>0.0</v>
      </c>
      <c r="N119" s="17">
        <f t="shared" si="1"/>
        <v>82</v>
      </c>
    </row>
    <row r="120">
      <c r="A120" s="18" t="s">
        <v>28</v>
      </c>
      <c r="B120" s="18">
        <f t="shared" ref="B120:L120" si="21">SUM(B118:B119)</f>
        <v>50</v>
      </c>
      <c r="C120" s="18">
        <f t="shared" si="21"/>
        <v>38.2</v>
      </c>
      <c r="D120" s="18">
        <f t="shared" si="21"/>
        <v>49</v>
      </c>
      <c r="E120" s="18">
        <f t="shared" si="21"/>
        <v>17</v>
      </c>
      <c r="F120" s="18">
        <f t="shared" si="21"/>
        <v>25</v>
      </c>
      <c r="G120" s="18">
        <f t="shared" si="21"/>
        <v>40</v>
      </c>
      <c r="H120" s="18">
        <f t="shared" si="21"/>
        <v>19</v>
      </c>
      <c r="I120" s="18">
        <f t="shared" si="21"/>
        <v>12</v>
      </c>
      <c r="J120" s="18">
        <f t="shared" si="21"/>
        <v>25</v>
      </c>
      <c r="K120" s="47">
        <f t="shared" si="21"/>
        <v>30</v>
      </c>
      <c r="L120" s="47">
        <f t="shared" si="21"/>
        <v>89</v>
      </c>
      <c r="M120" s="20"/>
      <c r="N120" s="20">
        <f t="shared" si="1"/>
        <v>394.2</v>
      </c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50"/>
      <c r="L121" s="50"/>
      <c r="N121" s="17">
        <f t="shared" si="1"/>
        <v>0</v>
      </c>
    </row>
    <row r="122">
      <c r="A122" s="64">
        <v>45829.0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50"/>
      <c r="L122" s="50"/>
      <c r="N122" s="17">
        <f t="shared" si="1"/>
        <v>0</v>
      </c>
    </row>
    <row r="123">
      <c r="A123" s="65" t="s">
        <v>14</v>
      </c>
      <c r="B123" s="65" t="s">
        <v>15</v>
      </c>
      <c r="C123" s="65" t="s">
        <v>16</v>
      </c>
      <c r="D123" s="65" t="s">
        <v>17</v>
      </c>
      <c r="E123" s="65" t="s">
        <v>18</v>
      </c>
      <c r="F123" s="65" t="s">
        <v>19</v>
      </c>
      <c r="G123" s="65" t="s">
        <v>20</v>
      </c>
      <c r="H123" s="65" t="s">
        <v>21</v>
      </c>
      <c r="I123" s="65" t="s">
        <v>22</v>
      </c>
      <c r="J123" s="65" t="s">
        <v>23</v>
      </c>
      <c r="K123" s="44" t="s">
        <v>24</v>
      </c>
      <c r="L123" s="44" t="s">
        <v>25</v>
      </c>
      <c r="N123" s="17">
        <f t="shared" si="1"/>
        <v>0</v>
      </c>
    </row>
    <row r="124">
      <c r="A124" s="15" t="s">
        <v>26</v>
      </c>
      <c r="B124" s="15">
        <v>25.0</v>
      </c>
      <c r="C124" s="16">
        <v>40.0</v>
      </c>
      <c r="D124" s="16">
        <v>30.0</v>
      </c>
      <c r="E124" s="15">
        <v>29.0</v>
      </c>
      <c r="F124" s="15">
        <v>30.0</v>
      </c>
      <c r="G124" s="15">
        <v>14.0</v>
      </c>
      <c r="H124" s="16">
        <v>25.0</v>
      </c>
      <c r="I124" s="15">
        <v>35.0</v>
      </c>
      <c r="J124" s="15">
        <v>36.0</v>
      </c>
      <c r="K124" s="45">
        <v>30.0</v>
      </c>
      <c r="L124" s="45">
        <v>87.0</v>
      </c>
      <c r="N124" s="17">
        <f t="shared" si="1"/>
        <v>381</v>
      </c>
    </row>
    <row r="125">
      <c r="A125" s="15" t="s">
        <v>27</v>
      </c>
      <c r="B125" s="16">
        <v>10.0</v>
      </c>
      <c r="C125" s="16">
        <v>30.0</v>
      </c>
      <c r="D125" s="16">
        <v>19.0</v>
      </c>
      <c r="E125" s="16">
        <v>25.0</v>
      </c>
      <c r="F125" s="16">
        <v>27.0</v>
      </c>
      <c r="G125" s="33">
        <v>25.0</v>
      </c>
      <c r="H125" s="33">
        <v>8.0</v>
      </c>
      <c r="I125" s="16">
        <v>27.0</v>
      </c>
      <c r="J125" s="16">
        <v>24.0</v>
      </c>
      <c r="K125" s="45">
        <v>1.0</v>
      </c>
      <c r="L125" s="45">
        <v>0.0</v>
      </c>
      <c r="N125" s="17">
        <f t="shared" si="1"/>
        <v>196</v>
      </c>
    </row>
    <row r="126">
      <c r="A126" s="18" t="s">
        <v>28</v>
      </c>
      <c r="B126" s="18">
        <f t="shared" ref="B126:L126" si="22">SUM(B124:B125)</f>
        <v>35</v>
      </c>
      <c r="C126" s="18">
        <f t="shared" si="22"/>
        <v>70</v>
      </c>
      <c r="D126" s="18">
        <f t="shared" si="22"/>
        <v>49</v>
      </c>
      <c r="E126" s="18">
        <f t="shared" si="22"/>
        <v>54</v>
      </c>
      <c r="F126" s="18">
        <f t="shared" si="22"/>
        <v>57</v>
      </c>
      <c r="G126" s="18">
        <f t="shared" si="22"/>
        <v>39</v>
      </c>
      <c r="H126" s="18">
        <f t="shared" si="22"/>
        <v>33</v>
      </c>
      <c r="I126" s="18">
        <f t="shared" si="22"/>
        <v>62</v>
      </c>
      <c r="J126" s="18">
        <f t="shared" si="22"/>
        <v>60</v>
      </c>
      <c r="K126" s="47">
        <f t="shared" si="22"/>
        <v>31</v>
      </c>
      <c r="L126" s="47">
        <f t="shared" si="22"/>
        <v>87</v>
      </c>
      <c r="M126" s="20"/>
      <c r="N126" s="20">
        <f t="shared" si="1"/>
        <v>577</v>
      </c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50"/>
      <c r="L127" s="50"/>
      <c r="N127" s="17">
        <f t="shared" si="1"/>
        <v>0</v>
      </c>
    </row>
    <row r="128">
      <c r="A128" s="64">
        <v>45830.0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50"/>
      <c r="L128" s="50"/>
      <c r="N128" s="17">
        <f t="shared" si="1"/>
        <v>0</v>
      </c>
    </row>
    <row r="129">
      <c r="A129" s="13" t="s">
        <v>14</v>
      </c>
      <c r="B129" s="13" t="s">
        <v>15</v>
      </c>
      <c r="C129" s="13" t="s">
        <v>16</v>
      </c>
      <c r="D129" s="13" t="s">
        <v>17</v>
      </c>
      <c r="E129" s="13" t="s">
        <v>18</v>
      </c>
      <c r="F129" s="13" t="s">
        <v>19</v>
      </c>
      <c r="G129" s="13" t="s">
        <v>20</v>
      </c>
      <c r="H129" s="13" t="s">
        <v>21</v>
      </c>
      <c r="I129" s="13" t="s">
        <v>22</v>
      </c>
      <c r="J129" s="13" t="s">
        <v>23</v>
      </c>
      <c r="K129" s="44" t="s">
        <v>24</v>
      </c>
      <c r="L129" s="44" t="s">
        <v>25</v>
      </c>
      <c r="N129" s="17">
        <f t="shared" si="1"/>
        <v>0</v>
      </c>
    </row>
    <row r="130">
      <c r="A130" s="15" t="s">
        <v>26</v>
      </c>
      <c r="B130" s="16">
        <v>140.0</v>
      </c>
      <c r="C130" s="15">
        <v>30.0</v>
      </c>
      <c r="D130" s="15">
        <v>30.0</v>
      </c>
      <c r="E130" s="15">
        <v>29.0</v>
      </c>
      <c r="F130" s="15">
        <v>30.0</v>
      </c>
      <c r="G130" s="15">
        <v>14.0</v>
      </c>
      <c r="H130" s="16">
        <v>25.0</v>
      </c>
      <c r="I130" s="15">
        <v>37.0</v>
      </c>
      <c r="J130" s="15">
        <v>38.0</v>
      </c>
      <c r="K130" s="45">
        <v>26.0</v>
      </c>
      <c r="L130" s="45">
        <v>88.0</v>
      </c>
      <c r="N130" s="17">
        <f t="shared" si="1"/>
        <v>487</v>
      </c>
    </row>
    <row r="131">
      <c r="A131" s="15" t="s">
        <v>27</v>
      </c>
      <c r="B131" s="16">
        <v>30.0</v>
      </c>
      <c r="C131" s="16">
        <v>19.0</v>
      </c>
      <c r="D131" s="16">
        <v>0.0</v>
      </c>
      <c r="E131" s="16">
        <v>0.0</v>
      </c>
      <c r="F131" s="16">
        <v>0.0</v>
      </c>
      <c r="G131" s="33">
        <v>25.0</v>
      </c>
      <c r="H131" s="33">
        <v>10.0</v>
      </c>
      <c r="I131" s="16">
        <v>0.0</v>
      </c>
      <c r="J131" s="16">
        <v>0.0</v>
      </c>
      <c r="K131" s="45">
        <v>1.0</v>
      </c>
      <c r="L131" s="45">
        <v>0.0</v>
      </c>
      <c r="N131" s="17">
        <f t="shared" si="1"/>
        <v>85</v>
      </c>
    </row>
    <row r="132">
      <c r="A132" s="18" t="s">
        <v>28</v>
      </c>
      <c r="B132" s="18">
        <f t="shared" ref="B132:L132" si="23">SUM(B130:B131)</f>
        <v>170</v>
      </c>
      <c r="C132" s="18">
        <f t="shared" si="23"/>
        <v>49</v>
      </c>
      <c r="D132" s="18">
        <f t="shared" si="23"/>
        <v>30</v>
      </c>
      <c r="E132" s="18">
        <f t="shared" si="23"/>
        <v>29</v>
      </c>
      <c r="F132" s="18">
        <f t="shared" si="23"/>
        <v>30</v>
      </c>
      <c r="G132" s="18">
        <f t="shared" si="23"/>
        <v>39</v>
      </c>
      <c r="H132" s="18">
        <f t="shared" si="23"/>
        <v>35</v>
      </c>
      <c r="I132" s="18">
        <f t="shared" si="23"/>
        <v>37</v>
      </c>
      <c r="J132" s="18">
        <f t="shared" si="23"/>
        <v>38</v>
      </c>
      <c r="K132" s="47">
        <f t="shared" si="23"/>
        <v>27</v>
      </c>
      <c r="L132" s="47">
        <f t="shared" si="23"/>
        <v>88</v>
      </c>
      <c r="M132" s="20"/>
      <c r="N132" s="20">
        <f t="shared" si="1"/>
        <v>572</v>
      </c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50"/>
      <c r="L133" s="50"/>
      <c r="N133" s="17">
        <f t="shared" si="1"/>
        <v>0</v>
      </c>
    </row>
    <row r="134">
      <c r="A134" s="64">
        <v>45831.0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50"/>
      <c r="L134" s="50"/>
      <c r="N134" s="17">
        <f t="shared" si="1"/>
        <v>0</v>
      </c>
    </row>
    <row r="135">
      <c r="A135" s="13" t="s">
        <v>14</v>
      </c>
      <c r="B135" s="13" t="s">
        <v>15</v>
      </c>
      <c r="C135" s="13" t="s">
        <v>16</v>
      </c>
      <c r="D135" s="13" t="s">
        <v>17</v>
      </c>
      <c r="E135" s="13" t="s">
        <v>18</v>
      </c>
      <c r="F135" s="13" t="s">
        <v>19</v>
      </c>
      <c r="G135" s="13" t="s">
        <v>20</v>
      </c>
      <c r="H135" s="13" t="s">
        <v>21</v>
      </c>
      <c r="I135" s="13" t="s">
        <v>22</v>
      </c>
      <c r="J135" s="13" t="s">
        <v>23</v>
      </c>
      <c r="K135" s="44" t="s">
        <v>24</v>
      </c>
      <c r="L135" s="44" t="s">
        <v>25</v>
      </c>
      <c r="N135" s="17">
        <f t="shared" si="1"/>
        <v>0</v>
      </c>
    </row>
    <row r="136">
      <c r="A136" s="15" t="s">
        <v>26</v>
      </c>
      <c r="B136" s="15">
        <v>30.0</v>
      </c>
      <c r="C136" s="16">
        <v>30.0</v>
      </c>
      <c r="D136" s="16">
        <v>35.0</v>
      </c>
      <c r="E136" s="15">
        <v>29.0</v>
      </c>
      <c r="F136" s="15">
        <v>30.0</v>
      </c>
      <c r="G136" s="15">
        <v>16.0</v>
      </c>
      <c r="H136" s="16">
        <v>29.0</v>
      </c>
      <c r="I136" s="15">
        <v>37.0</v>
      </c>
      <c r="J136" s="15">
        <v>38.0</v>
      </c>
      <c r="K136" s="45">
        <v>29.0</v>
      </c>
      <c r="L136" s="60">
        <v>70.0</v>
      </c>
      <c r="N136" s="17">
        <f t="shared" si="1"/>
        <v>373</v>
      </c>
    </row>
    <row r="137">
      <c r="A137" s="15" t="s">
        <v>27</v>
      </c>
      <c r="B137" s="16">
        <v>20.0</v>
      </c>
      <c r="C137" s="16">
        <v>20.0</v>
      </c>
      <c r="D137" s="16">
        <v>0.0</v>
      </c>
      <c r="E137" s="16">
        <v>0.0</v>
      </c>
      <c r="F137" s="16">
        <v>0.0</v>
      </c>
      <c r="G137" s="33">
        <v>26.0</v>
      </c>
      <c r="H137" s="33">
        <v>15.0</v>
      </c>
      <c r="I137" s="16">
        <v>0.0</v>
      </c>
      <c r="J137" s="16">
        <v>0.0</v>
      </c>
      <c r="K137" s="45">
        <v>1.0</v>
      </c>
      <c r="L137" s="60">
        <v>1.0</v>
      </c>
      <c r="N137" s="17">
        <f t="shared" si="1"/>
        <v>83</v>
      </c>
    </row>
    <row r="138">
      <c r="A138" s="18" t="s">
        <v>28</v>
      </c>
      <c r="B138" s="18">
        <f t="shared" ref="B138:L138" si="24">SUM(B136:B137)</f>
        <v>50</v>
      </c>
      <c r="C138" s="18">
        <f t="shared" si="24"/>
        <v>50</v>
      </c>
      <c r="D138" s="18">
        <f t="shared" si="24"/>
        <v>35</v>
      </c>
      <c r="E138" s="18">
        <f t="shared" si="24"/>
        <v>29</v>
      </c>
      <c r="F138" s="18">
        <f t="shared" si="24"/>
        <v>30</v>
      </c>
      <c r="G138" s="18">
        <f t="shared" si="24"/>
        <v>42</v>
      </c>
      <c r="H138" s="18">
        <f t="shared" si="24"/>
        <v>44</v>
      </c>
      <c r="I138" s="18">
        <f t="shared" si="24"/>
        <v>37</v>
      </c>
      <c r="J138" s="18">
        <f t="shared" si="24"/>
        <v>38</v>
      </c>
      <c r="K138" s="47">
        <f t="shared" si="24"/>
        <v>30</v>
      </c>
      <c r="L138" s="47">
        <f t="shared" si="24"/>
        <v>71</v>
      </c>
      <c r="M138" s="20"/>
      <c r="N138" s="20">
        <f t="shared" si="1"/>
        <v>456</v>
      </c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N139" s="17">
        <f t="shared" si="1"/>
        <v>0</v>
      </c>
    </row>
    <row r="140">
      <c r="A140" s="64">
        <v>45833.0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29"/>
      <c r="L140" s="29"/>
      <c r="N140" s="17">
        <f t="shared" si="1"/>
        <v>0</v>
      </c>
    </row>
    <row r="141">
      <c r="A141" s="13" t="s">
        <v>14</v>
      </c>
      <c r="B141" s="65" t="s">
        <v>15</v>
      </c>
      <c r="C141" s="13" t="s">
        <v>16</v>
      </c>
      <c r="D141" s="13" t="s">
        <v>17</v>
      </c>
      <c r="E141" s="13" t="s">
        <v>18</v>
      </c>
      <c r="F141" s="13" t="s">
        <v>19</v>
      </c>
      <c r="G141" s="13" t="s">
        <v>20</v>
      </c>
      <c r="H141" s="13" t="s">
        <v>21</v>
      </c>
      <c r="I141" s="13" t="s">
        <v>22</v>
      </c>
      <c r="J141" s="13" t="s">
        <v>23</v>
      </c>
      <c r="K141" s="44" t="s">
        <v>24</v>
      </c>
      <c r="L141" s="44" t="s">
        <v>25</v>
      </c>
      <c r="N141" s="17">
        <f t="shared" si="1"/>
        <v>0</v>
      </c>
    </row>
    <row r="142">
      <c r="A142" s="25" t="s">
        <v>26</v>
      </c>
      <c r="B142" s="15">
        <v>25.0</v>
      </c>
      <c r="C142" s="16">
        <v>40.0</v>
      </c>
      <c r="D142" s="16">
        <v>34.0</v>
      </c>
      <c r="E142" s="15">
        <v>29.0</v>
      </c>
      <c r="F142" s="15">
        <v>30.0</v>
      </c>
      <c r="G142" s="16">
        <v>14.0</v>
      </c>
      <c r="H142" s="16">
        <v>25.0</v>
      </c>
      <c r="I142" s="15">
        <v>37.0</v>
      </c>
      <c r="J142" s="15">
        <v>38.0</v>
      </c>
      <c r="K142" s="45">
        <v>30.0</v>
      </c>
      <c r="L142" s="45">
        <v>87.0</v>
      </c>
      <c r="N142" s="17">
        <f t="shared" si="1"/>
        <v>389</v>
      </c>
    </row>
    <row r="143">
      <c r="A143" s="25" t="s">
        <v>27</v>
      </c>
      <c r="B143" s="16">
        <v>10.0</v>
      </c>
      <c r="C143" s="16">
        <v>25.0</v>
      </c>
      <c r="D143" s="16">
        <v>20.0</v>
      </c>
      <c r="E143" s="16">
        <v>10.0</v>
      </c>
      <c r="F143" s="16">
        <v>10.0</v>
      </c>
      <c r="G143" s="16">
        <v>25.0</v>
      </c>
      <c r="H143" s="16">
        <v>7.0</v>
      </c>
      <c r="I143" s="16">
        <v>10.0</v>
      </c>
      <c r="J143" s="16">
        <v>10.0</v>
      </c>
      <c r="K143" s="45">
        <v>1.0</v>
      </c>
      <c r="L143" s="45">
        <v>0.0</v>
      </c>
      <c r="N143" s="17">
        <f t="shared" si="1"/>
        <v>128</v>
      </c>
    </row>
    <row r="144">
      <c r="A144" s="18" t="s">
        <v>28</v>
      </c>
      <c r="B144" s="18">
        <f t="shared" ref="B144:L144" si="25">SUM(B142:B143)</f>
        <v>35</v>
      </c>
      <c r="C144" s="18">
        <f t="shared" si="25"/>
        <v>65</v>
      </c>
      <c r="D144" s="18">
        <f t="shared" si="25"/>
        <v>54</v>
      </c>
      <c r="E144" s="18">
        <f t="shared" si="25"/>
        <v>39</v>
      </c>
      <c r="F144" s="18">
        <f t="shared" si="25"/>
        <v>40</v>
      </c>
      <c r="G144" s="18">
        <f t="shared" si="25"/>
        <v>39</v>
      </c>
      <c r="H144" s="18">
        <f t="shared" si="25"/>
        <v>32</v>
      </c>
      <c r="I144" s="18">
        <f t="shared" si="25"/>
        <v>47</v>
      </c>
      <c r="J144" s="18">
        <f t="shared" si="25"/>
        <v>48</v>
      </c>
      <c r="K144" s="47">
        <f t="shared" si="25"/>
        <v>31</v>
      </c>
      <c r="L144" s="47">
        <f t="shared" si="25"/>
        <v>87</v>
      </c>
      <c r="M144" s="20"/>
      <c r="N144" s="20">
        <f t="shared" si="1"/>
        <v>517</v>
      </c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50"/>
      <c r="L145" s="50"/>
      <c r="N145" s="17">
        <f t="shared" si="1"/>
        <v>0</v>
      </c>
    </row>
    <row r="146">
      <c r="A146" s="64">
        <v>45834.0</v>
      </c>
      <c r="B146" s="12"/>
      <c r="C146" s="12"/>
      <c r="D146" s="12"/>
      <c r="E146" s="12"/>
      <c r="F146" s="12"/>
      <c r="G146" s="12"/>
      <c r="H146" s="12"/>
      <c r="I146" s="12"/>
      <c r="J146" s="12"/>
      <c r="K146" s="50"/>
      <c r="L146" s="50"/>
      <c r="N146" s="17">
        <f t="shared" si="1"/>
        <v>0</v>
      </c>
    </row>
    <row r="147">
      <c r="A147" s="13" t="s">
        <v>14</v>
      </c>
      <c r="B147" s="13" t="s">
        <v>15</v>
      </c>
      <c r="C147" s="13" t="s">
        <v>16</v>
      </c>
      <c r="D147" s="13" t="s">
        <v>17</v>
      </c>
      <c r="E147" s="13" t="s">
        <v>18</v>
      </c>
      <c r="F147" s="13" t="s">
        <v>19</v>
      </c>
      <c r="G147" s="13" t="s">
        <v>20</v>
      </c>
      <c r="H147" s="13" t="s">
        <v>21</v>
      </c>
      <c r="I147" s="13" t="s">
        <v>22</v>
      </c>
      <c r="J147" s="13" t="s">
        <v>23</v>
      </c>
      <c r="K147" s="44" t="s">
        <v>24</v>
      </c>
      <c r="L147" s="44" t="s">
        <v>25</v>
      </c>
      <c r="N147" s="17">
        <f t="shared" si="1"/>
        <v>0</v>
      </c>
    </row>
    <row r="148">
      <c r="A148" s="25" t="s">
        <v>26</v>
      </c>
      <c r="B148" s="16">
        <v>80.0</v>
      </c>
      <c r="C148" s="16">
        <v>35.0</v>
      </c>
      <c r="D148" s="15">
        <v>20.0</v>
      </c>
      <c r="E148" s="16">
        <v>8.2</v>
      </c>
      <c r="F148" s="16">
        <v>26.0</v>
      </c>
      <c r="G148" s="15">
        <v>15.0</v>
      </c>
      <c r="H148" s="16">
        <v>25.0</v>
      </c>
      <c r="I148" s="16">
        <v>26.0</v>
      </c>
      <c r="J148" s="16">
        <v>28.0</v>
      </c>
      <c r="K148" s="45">
        <v>26.0</v>
      </c>
      <c r="L148" s="45">
        <v>88.0</v>
      </c>
      <c r="N148" s="17">
        <f t="shared" si="1"/>
        <v>377.2</v>
      </c>
    </row>
    <row r="149">
      <c r="A149" s="25" t="s">
        <v>27</v>
      </c>
      <c r="B149" s="15">
        <v>55.0</v>
      </c>
      <c r="C149" s="15">
        <v>10.36</v>
      </c>
      <c r="D149" s="15">
        <v>8.0</v>
      </c>
      <c r="E149" s="16">
        <v>10.0</v>
      </c>
      <c r="F149" s="16">
        <v>10.0</v>
      </c>
      <c r="G149" s="16">
        <v>25.0</v>
      </c>
      <c r="H149" s="16">
        <v>12.0</v>
      </c>
      <c r="I149" s="16">
        <v>10.0</v>
      </c>
      <c r="J149" s="16">
        <v>10.0</v>
      </c>
      <c r="K149" s="45">
        <v>1.0</v>
      </c>
      <c r="L149" s="45">
        <v>0.0</v>
      </c>
      <c r="N149" s="17">
        <f t="shared" si="1"/>
        <v>151.36</v>
      </c>
    </row>
    <row r="150">
      <c r="A150" s="18" t="s">
        <v>28</v>
      </c>
      <c r="B150" s="18">
        <f t="shared" ref="B150:L150" si="26">SUM(B148:B149)</f>
        <v>135</v>
      </c>
      <c r="C150" s="18">
        <f t="shared" si="26"/>
        <v>45.36</v>
      </c>
      <c r="D150" s="18">
        <f t="shared" si="26"/>
        <v>28</v>
      </c>
      <c r="E150" s="18">
        <f t="shared" si="26"/>
        <v>18.2</v>
      </c>
      <c r="F150" s="18">
        <f t="shared" si="26"/>
        <v>36</v>
      </c>
      <c r="G150" s="18">
        <f t="shared" si="26"/>
        <v>40</v>
      </c>
      <c r="H150" s="18">
        <f t="shared" si="26"/>
        <v>37</v>
      </c>
      <c r="I150" s="18">
        <f t="shared" si="26"/>
        <v>36</v>
      </c>
      <c r="J150" s="18">
        <f t="shared" si="26"/>
        <v>38</v>
      </c>
      <c r="K150" s="47">
        <f t="shared" si="26"/>
        <v>27</v>
      </c>
      <c r="L150" s="47">
        <f t="shared" si="26"/>
        <v>88</v>
      </c>
      <c r="M150" s="20"/>
      <c r="N150" s="20">
        <f t="shared" si="1"/>
        <v>528.56</v>
      </c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K151" s="50"/>
      <c r="L151" s="50"/>
      <c r="N151" s="17">
        <f t="shared" si="1"/>
        <v>0</v>
      </c>
    </row>
    <row r="152">
      <c r="A152" s="64">
        <v>45835.0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50"/>
      <c r="L152" s="50"/>
      <c r="N152" s="17">
        <f t="shared" si="1"/>
        <v>0</v>
      </c>
    </row>
    <row r="153">
      <c r="A153" s="13" t="s">
        <v>14</v>
      </c>
      <c r="B153" s="13" t="s">
        <v>15</v>
      </c>
      <c r="C153" s="13" t="s">
        <v>16</v>
      </c>
      <c r="D153" s="13" t="s">
        <v>17</v>
      </c>
      <c r="E153" s="13" t="s">
        <v>18</v>
      </c>
      <c r="F153" s="13" t="s">
        <v>19</v>
      </c>
      <c r="G153" s="13" t="s">
        <v>20</v>
      </c>
      <c r="H153" s="13" t="s">
        <v>21</v>
      </c>
      <c r="I153" s="13" t="s">
        <v>22</v>
      </c>
      <c r="J153" s="13" t="s">
        <v>23</v>
      </c>
      <c r="K153" s="44" t="s">
        <v>24</v>
      </c>
      <c r="L153" s="44" t="s">
        <v>25</v>
      </c>
      <c r="N153" s="17">
        <f t="shared" si="1"/>
        <v>0</v>
      </c>
    </row>
    <row r="154">
      <c r="A154" s="25" t="s">
        <v>26</v>
      </c>
      <c r="B154" s="16">
        <v>14.0</v>
      </c>
      <c r="C154" s="16">
        <v>16.6</v>
      </c>
      <c r="D154" s="16">
        <v>0.0</v>
      </c>
      <c r="E154" s="16">
        <v>9.8</v>
      </c>
      <c r="F154" s="16">
        <v>8.9</v>
      </c>
      <c r="G154" s="16">
        <v>15.0</v>
      </c>
      <c r="H154" s="16">
        <v>27.0</v>
      </c>
      <c r="I154" s="16">
        <v>12.9</v>
      </c>
      <c r="J154" s="16">
        <v>15.8</v>
      </c>
      <c r="K154" s="45">
        <v>29.0</v>
      </c>
      <c r="L154" s="60">
        <v>70.0</v>
      </c>
      <c r="N154" s="17">
        <f t="shared" si="1"/>
        <v>219</v>
      </c>
    </row>
    <row r="155">
      <c r="A155" s="25" t="s">
        <v>27</v>
      </c>
      <c r="B155" s="16">
        <v>9.0</v>
      </c>
      <c r="C155" s="16">
        <v>5.6</v>
      </c>
      <c r="D155" s="16">
        <v>0.0</v>
      </c>
      <c r="E155" s="16">
        <v>0.0</v>
      </c>
      <c r="F155" s="16">
        <v>0.0</v>
      </c>
      <c r="G155" s="16">
        <v>27.0</v>
      </c>
      <c r="H155" s="16">
        <v>8.0</v>
      </c>
      <c r="I155" s="16">
        <v>0.0</v>
      </c>
      <c r="J155" s="16">
        <v>0.0</v>
      </c>
      <c r="K155" s="45">
        <v>1.0</v>
      </c>
      <c r="L155" s="60">
        <v>1.0</v>
      </c>
      <c r="N155" s="17">
        <f t="shared" si="1"/>
        <v>51.6</v>
      </c>
    </row>
    <row r="156">
      <c r="A156" s="18" t="s">
        <v>28</v>
      </c>
      <c r="B156" s="18">
        <f t="shared" ref="B156:L156" si="27">SUM(B154:B155)</f>
        <v>23</v>
      </c>
      <c r="C156" s="18">
        <f t="shared" si="27"/>
        <v>22.2</v>
      </c>
      <c r="D156" s="18">
        <f t="shared" si="27"/>
        <v>0</v>
      </c>
      <c r="E156" s="18">
        <f t="shared" si="27"/>
        <v>9.8</v>
      </c>
      <c r="F156" s="18">
        <f t="shared" si="27"/>
        <v>8.9</v>
      </c>
      <c r="G156" s="18">
        <f t="shared" si="27"/>
        <v>42</v>
      </c>
      <c r="H156" s="18">
        <f t="shared" si="27"/>
        <v>35</v>
      </c>
      <c r="I156" s="18">
        <f t="shared" si="27"/>
        <v>12.9</v>
      </c>
      <c r="J156" s="18">
        <f t="shared" si="27"/>
        <v>15.8</v>
      </c>
      <c r="K156" s="47">
        <f t="shared" si="27"/>
        <v>30</v>
      </c>
      <c r="L156" s="47">
        <f t="shared" si="27"/>
        <v>71</v>
      </c>
      <c r="M156" s="20"/>
      <c r="N156" s="20">
        <f t="shared" si="1"/>
        <v>270.6</v>
      </c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K157" s="12"/>
      <c r="L157" s="12"/>
      <c r="N157" s="17">
        <f t="shared" si="1"/>
        <v>0</v>
      </c>
    </row>
    <row r="158">
      <c r="A158" s="64">
        <v>45836.0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29"/>
      <c r="L158" s="29"/>
      <c r="N158" s="17">
        <f t="shared" si="1"/>
        <v>0</v>
      </c>
    </row>
    <row r="159">
      <c r="A159" s="13" t="s">
        <v>14</v>
      </c>
      <c r="B159" s="13" t="s">
        <v>15</v>
      </c>
      <c r="C159" s="13" t="s">
        <v>16</v>
      </c>
      <c r="D159" s="13" t="s">
        <v>17</v>
      </c>
      <c r="E159" s="13" t="s">
        <v>18</v>
      </c>
      <c r="F159" s="13" t="s">
        <v>19</v>
      </c>
      <c r="G159" s="13" t="s">
        <v>20</v>
      </c>
      <c r="H159" s="13" t="s">
        <v>21</v>
      </c>
      <c r="I159" s="13" t="s">
        <v>22</v>
      </c>
      <c r="J159" s="13" t="s">
        <v>23</v>
      </c>
      <c r="K159" s="44" t="s">
        <v>24</v>
      </c>
      <c r="L159" s="44" t="s">
        <v>25</v>
      </c>
      <c r="N159" s="17">
        <f t="shared" si="1"/>
        <v>0</v>
      </c>
    </row>
    <row r="160">
      <c r="A160" s="25" t="s">
        <v>26</v>
      </c>
      <c r="B160" s="16">
        <v>26.0</v>
      </c>
      <c r="C160" s="16">
        <v>30.0</v>
      </c>
      <c r="D160" s="16">
        <v>66.0</v>
      </c>
      <c r="E160" s="16">
        <v>18.0</v>
      </c>
      <c r="F160" s="16">
        <v>10.0</v>
      </c>
      <c r="G160" s="16">
        <v>10.0</v>
      </c>
      <c r="H160" s="16">
        <v>18.0</v>
      </c>
      <c r="I160" s="16">
        <v>15.0</v>
      </c>
      <c r="J160" s="16">
        <v>17.0</v>
      </c>
      <c r="K160" s="45">
        <v>30.0</v>
      </c>
      <c r="L160" s="45">
        <v>87.0</v>
      </c>
      <c r="N160" s="17">
        <f t="shared" si="1"/>
        <v>327</v>
      </c>
    </row>
    <row r="161">
      <c r="A161" s="25" t="s">
        <v>27</v>
      </c>
      <c r="B161" s="16">
        <v>10.0</v>
      </c>
      <c r="C161" s="16">
        <v>15.0</v>
      </c>
      <c r="D161" s="16">
        <v>20.0</v>
      </c>
      <c r="E161" s="16">
        <v>0.0</v>
      </c>
      <c r="F161" s="16">
        <v>0.0</v>
      </c>
      <c r="G161" s="16">
        <v>19.0</v>
      </c>
      <c r="H161" s="16">
        <v>10.0</v>
      </c>
      <c r="I161" s="16">
        <v>0.0</v>
      </c>
      <c r="J161" s="16">
        <v>0.0</v>
      </c>
      <c r="K161" s="45">
        <v>1.0</v>
      </c>
      <c r="L161" s="45">
        <v>0.0</v>
      </c>
      <c r="N161" s="17">
        <f t="shared" si="1"/>
        <v>75</v>
      </c>
    </row>
    <row r="162">
      <c r="A162" s="18" t="s">
        <v>28</v>
      </c>
      <c r="B162" s="18">
        <f t="shared" ref="B162:L162" si="28">SUM(B160:B161)</f>
        <v>36</v>
      </c>
      <c r="C162" s="18">
        <f t="shared" si="28"/>
        <v>45</v>
      </c>
      <c r="D162" s="18">
        <f t="shared" si="28"/>
        <v>86</v>
      </c>
      <c r="E162" s="18">
        <f t="shared" si="28"/>
        <v>18</v>
      </c>
      <c r="F162" s="18">
        <f t="shared" si="28"/>
        <v>10</v>
      </c>
      <c r="G162" s="18">
        <f t="shared" si="28"/>
        <v>29</v>
      </c>
      <c r="H162" s="18">
        <f t="shared" si="28"/>
        <v>28</v>
      </c>
      <c r="I162" s="18">
        <f t="shared" si="28"/>
        <v>15</v>
      </c>
      <c r="J162" s="18">
        <f t="shared" si="28"/>
        <v>17</v>
      </c>
      <c r="K162" s="47">
        <f t="shared" si="28"/>
        <v>31</v>
      </c>
      <c r="L162" s="47">
        <f t="shared" si="28"/>
        <v>87</v>
      </c>
      <c r="M162" s="20"/>
      <c r="N162" s="20">
        <f t="shared" si="1"/>
        <v>402</v>
      </c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K163" s="50"/>
      <c r="L163" s="50"/>
      <c r="N163" s="17">
        <f t="shared" si="1"/>
        <v>0</v>
      </c>
    </row>
    <row r="164">
      <c r="A164" s="64">
        <v>45837.0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50"/>
      <c r="L164" s="50"/>
      <c r="N164" s="17">
        <f t="shared" si="1"/>
        <v>0</v>
      </c>
    </row>
    <row r="165">
      <c r="A165" s="13" t="s">
        <v>14</v>
      </c>
      <c r="B165" s="13" t="s">
        <v>15</v>
      </c>
      <c r="C165" s="13" t="s">
        <v>16</v>
      </c>
      <c r="D165" s="13" t="s">
        <v>17</v>
      </c>
      <c r="E165" s="13" t="s">
        <v>18</v>
      </c>
      <c r="F165" s="13" t="s">
        <v>19</v>
      </c>
      <c r="G165" s="13" t="s">
        <v>20</v>
      </c>
      <c r="H165" s="13" t="s">
        <v>21</v>
      </c>
      <c r="I165" s="13" t="s">
        <v>22</v>
      </c>
      <c r="J165" s="13" t="s">
        <v>23</v>
      </c>
      <c r="K165" s="44" t="s">
        <v>24</v>
      </c>
      <c r="L165" s="44" t="s">
        <v>25</v>
      </c>
      <c r="N165" s="17">
        <f t="shared" si="1"/>
        <v>0</v>
      </c>
    </row>
    <row r="166">
      <c r="A166" s="25" t="s">
        <v>26</v>
      </c>
      <c r="B166" s="16">
        <v>8.5</v>
      </c>
      <c r="C166" s="16">
        <v>16.0</v>
      </c>
      <c r="D166" s="16">
        <v>0.0</v>
      </c>
      <c r="E166" s="16">
        <v>24.3</v>
      </c>
      <c r="F166" s="16">
        <v>27.2</v>
      </c>
      <c r="G166" s="16">
        <v>15.0</v>
      </c>
      <c r="H166" s="16">
        <v>20.0</v>
      </c>
      <c r="I166" s="16">
        <v>26.2</v>
      </c>
      <c r="J166" s="16">
        <v>26.4</v>
      </c>
      <c r="K166" s="45">
        <v>26.0</v>
      </c>
      <c r="L166" s="45">
        <v>88.0</v>
      </c>
      <c r="N166" s="17">
        <f t="shared" si="1"/>
        <v>277.6</v>
      </c>
    </row>
    <row r="167">
      <c r="A167" s="25" t="s">
        <v>27</v>
      </c>
      <c r="B167" s="16">
        <v>13.2</v>
      </c>
      <c r="C167" s="16">
        <v>17.0</v>
      </c>
      <c r="D167" s="16">
        <v>0.0</v>
      </c>
      <c r="E167" s="16">
        <v>10.0</v>
      </c>
      <c r="F167" s="16">
        <v>22.3</v>
      </c>
      <c r="G167" s="16">
        <v>17.0</v>
      </c>
      <c r="H167" s="16">
        <v>10.0</v>
      </c>
      <c r="I167" s="16">
        <v>10.0</v>
      </c>
      <c r="J167" s="16">
        <v>8.5</v>
      </c>
      <c r="K167" s="45">
        <v>1.0</v>
      </c>
      <c r="L167" s="45">
        <v>0.0</v>
      </c>
      <c r="N167" s="17">
        <f t="shared" si="1"/>
        <v>109</v>
      </c>
    </row>
    <row r="168">
      <c r="A168" s="18" t="s">
        <v>28</v>
      </c>
      <c r="B168" s="18">
        <f t="shared" ref="B168:L168" si="29">SUM(B166:B167)</f>
        <v>21.7</v>
      </c>
      <c r="C168" s="18">
        <f t="shared" si="29"/>
        <v>33</v>
      </c>
      <c r="D168" s="18">
        <f t="shared" si="29"/>
        <v>0</v>
      </c>
      <c r="E168" s="18">
        <f t="shared" si="29"/>
        <v>34.3</v>
      </c>
      <c r="F168" s="18">
        <f t="shared" si="29"/>
        <v>49.5</v>
      </c>
      <c r="G168" s="18">
        <f t="shared" si="29"/>
        <v>32</v>
      </c>
      <c r="H168" s="18">
        <f t="shared" si="29"/>
        <v>30</v>
      </c>
      <c r="I168" s="18">
        <f t="shared" si="29"/>
        <v>36.2</v>
      </c>
      <c r="J168" s="18">
        <f t="shared" si="29"/>
        <v>34.9</v>
      </c>
      <c r="K168" s="47">
        <f t="shared" si="29"/>
        <v>27</v>
      </c>
      <c r="L168" s="47">
        <f t="shared" si="29"/>
        <v>88</v>
      </c>
      <c r="M168" s="20"/>
      <c r="N168" s="20">
        <f t="shared" si="1"/>
        <v>386.6</v>
      </c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K169" s="50"/>
      <c r="L169" s="50"/>
      <c r="N169" s="17">
        <f t="shared" si="1"/>
        <v>0</v>
      </c>
    </row>
    <row r="170">
      <c r="A170" s="64">
        <v>45838.0</v>
      </c>
      <c r="B170" s="12"/>
      <c r="C170" s="12"/>
      <c r="D170" s="12"/>
      <c r="E170" s="12"/>
      <c r="F170" s="12"/>
      <c r="G170" s="12"/>
      <c r="H170" s="12"/>
      <c r="I170" s="12"/>
      <c r="J170" s="12"/>
      <c r="K170" s="50"/>
      <c r="L170" s="50"/>
      <c r="N170" s="17">
        <f t="shared" si="1"/>
        <v>0</v>
      </c>
    </row>
    <row r="171">
      <c r="A171" s="13" t="s">
        <v>14</v>
      </c>
      <c r="B171" s="13" t="s">
        <v>15</v>
      </c>
      <c r="C171" s="13" t="s">
        <v>16</v>
      </c>
      <c r="D171" s="13" t="s">
        <v>17</v>
      </c>
      <c r="E171" s="13" t="s">
        <v>18</v>
      </c>
      <c r="F171" s="13" t="s">
        <v>19</v>
      </c>
      <c r="G171" s="13" t="s">
        <v>20</v>
      </c>
      <c r="H171" s="13" t="s">
        <v>21</v>
      </c>
      <c r="I171" s="13" t="s">
        <v>22</v>
      </c>
      <c r="J171" s="13" t="s">
        <v>23</v>
      </c>
      <c r="K171" s="44" t="s">
        <v>24</v>
      </c>
      <c r="L171" s="44" t="s">
        <v>25</v>
      </c>
      <c r="N171" s="17">
        <f t="shared" si="1"/>
        <v>0</v>
      </c>
    </row>
    <row r="172">
      <c r="A172" s="25" t="s">
        <v>26</v>
      </c>
      <c r="B172" s="16">
        <v>29.0</v>
      </c>
      <c r="C172" s="16">
        <v>53.0</v>
      </c>
      <c r="D172" s="15">
        <v>20.0</v>
      </c>
      <c r="E172" s="16">
        <v>25.0</v>
      </c>
      <c r="F172" s="16">
        <v>27.0</v>
      </c>
      <c r="G172" s="16">
        <v>15.0</v>
      </c>
      <c r="H172" s="16">
        <v>28.0</v>
      </c>
      <c r="I172" s="16">
        <v>25.0</v>
      </c>
      <c r="J172" s="16">
        <v>25.0</v>
      </c>
      <c r="K172" s="45">
        <v>29.0</v>
      </c>
      <c r="L172" s="60">
        <v>70.0</v>
      </c>
      <c r="N172" s="17">
        <f t="shared" si="1"/>
        <v>346</v>
      </c>
    </row>
    <row r="173">
      <c r="A173" s="25" t="s">
        <v>27</v>
      </c>
      <c r="B173" s="16">
        <v>12.0</v>
      </c>
      <c r="C173" s="15">
        <v>10.36</v>
      </c>
      <c r="D173" s="15">
        <v>8.0</v>
      </c>
      <c r="E173" s="16">
        <v>0.0</v>
      </c>
      <c r="F173" s="16">
        <v>0.0</v>
      </c>
      <c r="G173" s="16">
        <v>10.0</v>
      </c>
      <c r="H173" s="16">
        <v>10.0</v>
      </c>
      <c r="I173" s="16">
        <v>0.0</v>
      </c>
      <c r="J173" s="16">
        <v>0.0</v>
      </c>
      <c r="K173" s="45">
        <v>1.0</v>
      </c>
      <c r="L173" s="60">
        <v>1.0</v>
      </c>
      <c r="N173" s="17">
        <f t="shared" si="1"/>
        <v>52.36</v>
      </c>
    </row>
    <row r="174">
      <c r="A174" s="18" t="s">
        <v>28</v>
      </c>
      <c r="B174" s="18">
        <f t="shared" ref="B174:L174" si="30">SUM(B172:B173)</f>
        <v>41</v>
      </c>
      <c r="C174" s="18">
        <f t="shared" si="30"/>
        <v>63.36</v>
      </c>
      <c r="D174" s="18">
        <f t="shared" si="30"/>
        <v>28</v>
      </c>
      <c r="E174" s="18">
        <f t="shared" si="30"/>
        <v>25</v>
      </c>
      <c r="F174" s="18">
        <f t="shared" si="30"/>
        <v>27</v>
      </c>
      <c r="G174" s="18">
        <f t="shared" si="30"/>
        <v>25</v>
      </c>
      <c r="H174" s="18">
        <f t="shared" si="30"/>
        <v>38</v>
      </c>
      <c r="I174" s="18">
        <f t="shared" si="30"/>
        <v>25</v>
      </c>
      <c r="J174" s="18">
        <f t="shared" si="30"/>
        <v>25</v>
      </c>
      <c r="K174" s="47">
        <f t="shared" si="30"/>
        <v>30</v>
      </c>
      <c r="L174" s="47">
        <f t="shared" si="30"/>
        <v>71</v>
      </c>
      <c r="M174" s="20"/>
      <c r="N174" s="20">
        <f t="shared" si="1"/>
        <v>398.36</v>
      </c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6">
      <c r="A176" s="2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38" t="s">
        <v>32</v>
      </c>
      <c r="N176" s="62">
        <f t="shared" ref="N176:N177" si="31">sum(N4+N10+N16+N22+N28+N34+N40+N46+N52+N58+N64+N70+N76+N82+N88+N94+N100+N106+N112+N118+N124+N130+N136+N142+N148+N154+N160+N166+N172)</f>
        <v>8543.7</v>
      </c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39" t="s">
        <v>33</v>
      </c>
      <c r="N177" s="40">
        <f t="shared" si="31"/>
        <v>2955.22</v>
      </c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1.13"/>
    <col customWidth="1" min="2" max="3" width="10.5"/>
    <col customWidth="1" min="4" max="4" width="10.0"/>
    <col customWidth="1" min="5" max="10" width="12.5"/>
    <col customWidth="1" min="11" max="11" width="7.88"/>
    <col customWidth="1" min="12" max="12" width="6.25"/>
    <col customWidth="1" min="13" max="15" width="8.63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42"/>
      <c r="N1" s="42"/>
      <c r="O1" s="42"/>
    </row>
    <row r="2">
      <c r="A2" s="67">
        <v>45664.0</v>
      </c>
      <c r="B2" s="41"/>
      <c r="C2" s="29"/>
      <c r="D2" s="29"/>
      <c r="E2" s="29"/>
      <c r="F2" s="29"/>
      <c r="G2" s="29"/>
      <c r="H2" s="29"/>
      <c r="I2" s="29"/>
      <c r="J2" s="29"/>
      <c r="K2" s="29"/>
      <c r="L2" s="29"/>
      <c r="M2" s="42"/>
      <c r="N2" s="29"/>
      <c r="O2" s="29"/>
    </row>
    <row r="3">
      <c r="A3" s="30" t="s">
        <v>14</v>
      </c>
      <c r="B3" s="30" t="s">
        <v>29</v>
      </c>
      <c r="C3" s="30" t="s">
        <v>30</v>
      </c>
      <c r="D3" s="30" t="s">
        <v>17</v>
      </c>
      <c r="E3" s="30" t="s">
        <v>31</v>
      </c>
      <c r="F3" s="30" t="s">
        <v>19</v>
      </c>
      <c r="G3" s="30" t="s">
        <v>20</v>
      </c>
      <c r="H3" s="30" t="s">
        <v>21</v>
      </c>
      <c r="I3" s="30" t="s">
        <v>22</v>
      </c>
      <c r="J3" s="30" t="s">
        <v>23</v>
      </c>
      <c r="K3" s="30" t="s">
        <v>24</v>
      </c>
      <c r="L3" s="30" t="s">
        <v>25</v>
      </c>
      <c r="M3" s="42"/>
      <c r="N3" s="29"/>
      <c r="O3" s="29"/>
    </row>
    <row r="4">
      <c r="A4" s="32" t="s">
        <v>26</v>
      </c>
      <c r="B4" s="32">
        <v>68.0</v>
      </c>
      <c r="C4" s="32">
        <v>21.2</v>
      </c>
      <c r="D4" s="33">
        <v>55.0</v>
      </c>
      <c r="E4" s="32">
        <v>16.3</v>
      </c>
      <c r="F4" s="32">
        <v>31.2</v>
      </c>
      <c r="G4" s="33">
        <v>15.0</v>
      </c>
      <c r="H4" s="33">
        <v>15.0</v>
      </c>
      <c r="I4" s="32">
        <v>25.0</v>
      </c>
      <c r="J4" s="32">
        <v>30.4</v>
      </c>
      <c r="K4" s="33">
        <v>28.0</v>
      </c>
      <c r="L4" s="33">
        <v>77.0</v>
      </c>
      <c r="M4" s="42"/>
      <c r="N4" s="29">
        <f t="shared" ref="N4:N186" si="1">sum(B4:L4)</f>
        <v>382.1</v>
      </c>
      <c r="O4" s="29"/>
    </row>
    <row r="5">
      <c r="A5" s="32" t="s">
        <v>27</v>
      </c>
      <c r="B5" s="32">
        <v>31.0</v>
      </c>
      <c r="C5" s="36">
        <v>12.1</v>
      </c>
      <c r="D5" s="52">
        <v>25.0</v>
      </c>
      <c r="E5" s="33">
        <v>0.0</v>
      </c>
      <c r="F5" s="33">
        <v>0.0</v>
      </c>
      <c r="G5" s="33">
        <v>25.0</v>
      </c>
      <c r="H5" s="33">
        <v>8.0</v>
      </c>
      <c r="I5" s="33">
        <v>0.0</v>
      </c>
      <c r="J5" s="33">
        <v>0.0</v>
      </c>
      <c r="K5" s="33">
        <v>2.0</v>
      </c>
      <c r="L5" s="33">
        <v>1.0</v>
      </c>
      <c r="M5" s="42"/>
      <c r="N5" s="29">
        <f t="shared" si="1"/>
        <v>104.1</v>
      </c>
      <c r="O5" s="29"/>
    </row>
    <row r="6">
      <c r="A6" s="34" t="s">
        <v>28</v>
      </c>
      <c r="B6" s="46">
        <f t="shared" ref="B6:L6" si="2">SUM(B4:B5)</f>
        <v>99</v>
      </c>
      <c r="C6" s="46">
        <f t="shared" si="2"/>
        <v>33.3</v>
      </c>
      <c r="D6" s="46">
        <f t="shared" si="2"/>
        <v>80</v>
      </c>
      <c r="E6" s="46">
        <f t="shared" si="2"/>
        <v>16.3</v>
      </c>
      <c r="F6" s="46">
        <f t="shared" si="2"/>
        <v>31.2</v>
      </c>
      <c r="G6" s="46">
        <f t="shared" si="2"/>
        <v>40</v>
      </c>
      <c r="H6" s="46">
        <f t="shared" si="2"/>
        <v>23</v>
      </c>
      <c r="I6" s="46">
        <f t="shared" si="2"/>
        <v>25</v>
      </c>
      <c r="J6" s="46">
        <f t="shared" si="2"/>
        <v>30.4</v>
      </c>
      <c r="K6" s="46">
        <f t="shared" si="2"/>
        <v>30</v>
      </c>
      <c r="L6" s="46">
        <f t="shared" si="2"/>
        <v>78</v>
      </c>
      <c r="M6" s="48"/>
      <c r="N6" s="49">
        <f t="shared" si="1"/>
        <v>486.2</v>
      </c>
      <c r="O6" s="49"/>
    </row>
    <row r="7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42"/>
      <c r="N7" s="29">
        <f t="shared" si="1"/>
        <v>0</v>
      </c>
      <c r="O7" s="29"/>
    </row>
    <row r="8">
      <c r="A8" s="68">
        <v>45695.0</v>
      </c>
      <c r="B8" s="41"/>
      <c r="C8" s="29"/>
      <c r="D8" s="29"/>
      <c r="E8" s="29"/>
      <c r="F8" s="29"/>
      <c r="G8" s="29"/>
      <c r="H8" s="29"/>
      <c r="I8" s="29"/>
      <c r="J8" s="29"/>
      <c r="K8" s="29"/>
      <c r="L8" s="29"/>
      <c r="M8" s="42"/>
      <c r="N8" s="29">
        <f t="shared" si="1"/>
        <v>0</v>
      </c>
      <c r="O8" s="29"/>
    </row>
    <row r="9">
      <c r="A9" s="30" t="s">
        <v>14</v>
      </c>
      <c r="B9" s="30" t="s">
        <v>29</v>
      </c>
      <c r="C9" s="30" t="s">
        <v>30</v>
      </c>
      <c r="D9" s="30" t="s">
        <v>17</v>
      </c>
      <c r="E9" s="30" t="s">
        <v>31</v>
      </c>
      <c r="F9" s="30" t="s">
        <v>19</v>
      </c>
      <c r="G9" s="30" t="s">
        <v>20</v>
      </c>
      <c r="H9" s="30" t="s">
        <v>21</v>
      </c>
      <c r="I9" s="30" t="s">
        <v>22</v>
      </c>
      <c r="J9" s="30" t="s">
        <v>23</v>
      </c>
      <c r="K9" s="43" t="s">
        <v>24</v>
      </c>
      <c r="L9" s="44" t="s">
        <v>25</v>
      </c>
      <c r="M9" s="42"/>
      <c r="N9" s="29">
        <f t="shared" si="1"/>
        <v>0</v>
      </c>
      <c r="O9" s="29"/>
    </row>
    <row r="10">
      <c r="A10" s="32" t="s">
        <v>26</v>
      </c>
      <c r="B10" s="33">
        <v>70.0</v>
      </c>
      <c r="C10" s="33">
        <v>40.0</v>
      </c>
      <c r="D10" s="33">
        <v>0.0</v>
      </c>
      <c r="E10" s="32">
        <v>12.6</v>
      </c>
      <c r="F10" s="32">
        <v>15.5</v>
      </c>
      <c r="G10" s="33">
        <v>17.0</v>
      </c>
      <c r="H10" s="33">
        <v>10.0</v>
      </c>
      <c r="I10" s="32">
        <v>24.2</v>
      </c>
      <c r="J10" s="32">
        <v>28.0</v>
      </c>
      <c r="K10" s="45">
        <v>7.0</v>
      </c>
      <c r="L10" s="45">
        <v>89.0</v>
      </c>
      <c r="M10" s="42"/>
      <c r="N10" s="29">
        <f t="shared" si="1"/>
        <v>313.3</v>
      </c>
      <c r="O10" s="29"/>
    </row>
    <row r="11">
      <c r="A11" s="32" t="s">
        <v>27</v>
      </c>
      <c r="B11" s="33">
        <v>31.0</v>
      </c>
      <c r="C11" s="33">
        <v>26.0</v>
      </c>
      <c r="D11" s="33">
        <v>0.0</v>
      </c>
      <c r="E11" s="33">
        <v>0.0</v>
      </c>
      <c r="F11" s="33">
        <v>0.0</v>
      </c>
      <c r="G11" s="33">
        <v>20.0</v>
      </c>
      <c r="H11" s="33">
        <v>17.0</v>
      </c>
      <c r="I11" s="33">
        <v>0.0</v>
      </c>
      <c r="J11" s="33">
        <v>0.0</v>
      </c>
      <c r="K11" s="45">
        <v>2.0</v>
      </c>
      <c r="L11" s="45">
        <v>2.0</v>
      </c>
      <c r="M11" s="42"/>
      <c r="N11" s="29">
        <f t="shared" si="1"/>
        <v>98</v>
      </c>
      <c r="O11" s="29"/>
    </row>
    <row r="12">
      <c r="A12" s="34" t="s">
        <v>28</v>
      </c>
      <c r="B12" s="46">
        <f t="shared" ref="B12:L12" si="3">SUM(B10:B11)</f>
        <v>101</v>
      </c>
      <c r="C12" s="46">
        <f t="shared" si="3"/>
        <v>66</v>
      </c>
      <c r="D12" s="46">
        <f t="shared" si="3"/>
        <v>0</v>
      </c>
      <c r="E12" s="46">
        <f t="shared" si="3"/>
        <v>12.6</v>
      </c>
      <c r="F12" s="46">
        <f t="shared" si="3"/>
        <v>15.5</v>
      </c>
      <c r="G12" s="46">
        <f t="shared" si="3"/>
        <v>37</v>
      </c>
      <c r="H12" s="46">
        <f t="shared" si="3"/>
        <v>27</v>
      </c>
      <c r="I12" s="46">
        <f t="shared" si="3"/>
        <v>24.2</v>
      </c>
      <c r="J12" s="46">
        <f t="shared" si="3"/>
        <v>28</v>
      </c>
      <c r="K12" s="47">
        <f t="shared" si="3"/>
        <v>9</v>
      </c>
      <c r="L12" s="47">
        <f t="shared" si="3"/>
        <v>91</v>
      </c>
      <c r="M12" s="48"/>
      <c r="N12" s="49">
        <f t="shared" si="1"/>
        <v>411.3</v>
      </c>
      <c r="O12" s="49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50"/>
      <c r="L13" s="50"/>
      <c r="M13" s="42"/>
      <c r="N13" s="29">
        <f t="shared" si="1"/>
        <v>0</v>
      </c>
      <c r="O13" s="29"/>
    </row>
    <row r="14">
      <c r="A14" s="69">
        <v>45723.0</v>
      </c>
      <c r="B14" s="29"/>
      <c r="C14" s="29"/>
      <c r="D14" s="29"/>
      <c r="E14" s="29"/>
      <c r="F14" s="29"/>
      <c r="G14" s="29"/>
      <c r="H14" s="29"/>
      <c r="I14" s="29"/>
      <c r="J14" s="29"/>
      <c r="K14" s="50"/>
      <c r="L14" s="50"/>
      <c r="M14" s="42"/>
      <c r="N14" s="29">
        <f t="shared" si="1"/>
        <v>0</v>
      </c>
      <c r="O14" s="29"/>
    </row>
    <row r="15">
      <c r="A15" s="30" t="s">
        <v>14</v>
      </c>
      <c r="B15" s="30" t="s">
        <v>29</v>
      </c>
      <c r="C15" s="30" t="s">
        <v>30</v>
      </c>
      <c r="D15" s="30" t="s">
        <v>17</v>
      </c>
      <c r="E15" s="30" t="s">
        <v>31</v>
      </c>
      <c r="F15" s="30" t="s">
        <v>19</v>
      </c>
      <c r="G15" s="30" t="s">
        <v>20</v>
      </c>
      <c r="H15" s="30" t="s">
        <v>21</v>
      </c>
      <c r="I15" s="30" t="s">
        <v>22</v>
      </c>
      <c r="J15" s="30" t="s">
        <v>23</v>
      </c>
      <c r="K15" s="43" t="s">
        <v>24</v>
      </c>
      <c r="L15" s="44" t="s">
        <v>25</v>
      </c>
      <c r="M15" s="42"/>
      <c r="N15" s="29">
        <f t="shared" si="1"/>
        <v>0</v>
      </c>
      <c r="O15" s="29"/>
    </row>
    <row r="16">
      <c r="A16" s="32" t="s">
        <v>26</v>
      </c>
      <c r="B16" s="32">
        <v>63.0</v>
      </c>
      <c r="C16" s="32">
        <v>20.3</v>
      </c>
      <c r="D16" s="33">
        <v>0.0</v>
      </c>
      <c r="E16" s="32">
        <v>15.2</v>
      </c>
      <c r="F16" s="32">
        <v>16.3</v>
      </c>
      <c r="G16" s="33">
        <v>26.0</v>
      </c>
      <c r="H16" s="33">
        <v>10.0</v>
      </c>
      <c r="I16" s="32">
        <v>24.4</v>
      </c>
      <c r="J16" s="32">
        <v>30.1</v>
      </c>
      <c r="K16" s="45">
        <v>25.0</v>
      </c>
      <c r="L16" s="45">
        <v>90.0</v>
      </c>
      <c r="M16" s="42"/>
      <c r="N16" s="29">
        <f t="shared" si="1"/>
        <v>320.3</v>
      </c>
      <c r="O16" s="29"/>
    </row>
    <row r="17">
      <c r="A17" s="32" t="s">
        <v>27</v>
      </c>
      <c r="B17" s="32">
        <v>29.0</v>
      </c>
      <c r="C17" s="32">
        <v>12.2</v>
      </c>
      <c r="D17" s="52">
        <v>0.0</v>
      </c>
      <c r="E17" s="33">
        <v>0.0</v>
      </c>
      <c r="F17" s="33">
        <v>0.0</v>
      </c>
      <c r="G17" s="33">
        <v>10.0</v>
      </c>
      <c r="H17" s="33">
        <v>0.0</v>
      </c>
      <c r="I17" s="33">
        <v>0.0</v>
      </c>
      <c r="J17" s="33">
        <v>0.0</v>
      </c>
      <c r="K17" s="45">
        <v>2.0</v>
      </c>
      <c r="L17" s="45">
        <v>0.0</v>
      </c>
      <c r="M17" s="42"/>
      <c r="N17" s="29">
        <f t="shared" si="1"/>
        <v>53.2</v>
      </c>
      <c r="O17" s="29"/>
    </row>
    <row r="18">
      <c r="A18" s="34" t="s">
        <v>28</v>
      </c>
      <c r="B18" s="46">
        <f t="shared" ref="B18:L18" si="4">SUM(B16:B17)</f>
        <v>92</v>
      </c>
      <c r="C18" s="46">
        <f t="shared" si="4"/>
        <v>32.5</v>
      </c>
      <c r="D18" s="46">
        <f t="shared" si="4"/>
        <v>0</v>
      </c>
      <c r="E18" s="46">
        <f t="shared" si="4"/>
        <v>15.2</v>
      </c>
      <c r="F18" s="46">
        <f t="shared" si="4"/>
        <v>16.3</v>
      </c>
      <c r="G18" s="46">
        <f t="shared" si="4"/>
        <v>36</v>
      </c>
      <c r="H18" s="46">
        <f t="shared" si="4"/>
        <v>10</v>
      </c>
      <c r="I18" s="46">
        <f t="shared" si="4"/>
        <v>24.4</v>
      </c>
      <c r="J18" s="46">
        <f t="shared" si="4"/>
        <v>30.1</v>
      </c>
      <c r="K18" s="47">
        <f t="shared" si="4"/>
        <v>27</v>
      </c>
      <c r="L18" s="47">
        <f t="shared" si="4"/>
        <v>90</v>
      </c>
      <c r="M18" s="48"/>
      <c r="N18" s="49">
        <f t="shared" si="1"/>
        <v>373.5</v>
      </c>
      <c r="O18" s="4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50"/>
      <c r="L19" s="50"/>
      <c r="M19" s="42"/>
      <c r="N19" s="29">
        <f t="shared" si="1"/>
        <v>0</v>
      </c>
      <c r="O19" s="29"/>
    </row>
    <row r="20">
      <c r="A20" s="69">
        <v>45754.0</v>
      </c>
      <c r="B20" s="29"/>
      <c r="C20" s="29"/>
      <c r="D20" s="29"/>
      <c r="E20" s="29"/>
      <c r="F20" s="29"/>
      <c r="G20" s="29"/>
      <c r="H20" s="29"/>
      <c r="I20" s="29"/>
      <c r="J20" s="29"/>
      <c r="K20" s="50"/>
      <c r="L20" s="50"/>
      <c r="M20" s="42"/>
      <c r="N20" s="29">
        <f t="shared" si="1"/>
        <v>0</v>
      </c>
      <c r="O20" s="29"/>
    </row>
    <row r="21" ht="15.75" customHeight="1">
      <c r="A21" s="30" t="s">
        <v>14</v>
      </c>
      <c r="B21" s="30" t="s">
        <v>29</v>
      </c>
      <c r="C21" s="30" t="s">
        <v>30</v>
      </c>
      <c r="D21" s="30" t="s">
        <v>17</v>
      </c>
      <c r="E21" s="30" t="s">
        <v>31</v>
      </c>
      <c r="F21" s="30" t="s">
        <v>19</v>
      </c>
      <c r="G21" s="30" t="s">
        <v>20</v>
      </c>
      <c r="H21" s="30" t="s">
        <v>21</v>
      </c>
      <c r="I21" s="30" t="s">
        <v>22</v>
      </c>
      <c r="J21" s="30" t="s">
        <v>23</v>
      </c>
      <c r="K21" s="43" t="s">
        <v>24</v>
      </c>
      <c r="L21" s="44" t="s">
        <v>25</v>
      </c>
      <c r="M21" s="42"/>
      <c r="N21" s="29">
        <f t="shared" si="1"/>
        <v>0</v>
      </c>
      <c r="O21" s="29"/>
    </row>
    <row r="22" ht="15.75" customHeight="1">
      <c r="A22" s="32" t="s">
        <v>26</v>
      </c>
      <c r="B22" s="32">
        <v>27.0</v>
      </c>
      <c r="C22" s="33">
        <v>40.5</v>
      </c>
      <c r="D22" s="32">
        <v>55.0</v>
      </c>
      <c r="E22" s="32">
        <v>13.4</v>
      </c>
      <c r="F22" s="32">
        <v>10.2</v>
      </c>
      <c r="G22" s="33">
        <v>10.0</v>
      </c>
      <c r="H22" s="33">
        <v>20.0</v>
      </c>
      <c r="I22" s="32">
        <v>15.1</v>
      </c>
      <c r="J22" s="32">
        <v>49.0</v>
      </c>
      <c r="K22" s="45">
        <v>8.0</v>
      </c>
      <c r="L22" s="45">
        <v>80.0</v>
      </c>
      <c r="M22" s="42"/>
      <c r="N22" s="29">
        <f t="shared" si="1"/>
        <v>328.2</v>
      </c>
      <c r="O22" s="29"/>
    </row>
    <row r="23" ht="15.75" customHeight="1">
      <c r="A23" s="32" t="s">
        <v>27</v>
      </c>
      <c r="B23" s="32">
        <v>7.0</v>
      </c>
      <c r="C23" s="33">
        <v>30.6</v>
      </c>
      <c r="D23" s="32">
        <v>35.0</v>
      </c>
      <c r="E23" s="33">
        <v>10.0</v>
      </c>
      <c r="F23" s="33">
        <v>8.0</v>
      </c>
      <c r="G23" s="33">
        <v>9.0</v>
      </c>
      <c r="H23" s="33">
        <v>10.0</v>
      </c>
      <c r="I23" s="33">
        <v>10.0</v>
      </c>
      <c r="J23" s="33">
        <v>20.0</v>
      </c>
      <c r="K23" s="45">
        <v>0.0</v>
      </c>
      <c r="L23" s="45">
        <v>2.0</v>
      </c>
      <c r="M23" s="42"/>
      <c r="N23" s="29">
        <f t="shared" si="1"/>
        <v>141.6</v>
      </c>
      <c r="O23" s="29"/>
    </row>
    <row r="24" ht="15.75" customHeight="1">
      <c r="A24" s="34" t="s">
        <v>28</v>
      </c>
      <c r="B24" s="46">
        <f t="shared" ref="B24:L24" si="5">SUM(B22:B23)</f>
        <v>34</v>
      </c>
      <c r="C24" s="46">
        <f t="shared" si="5"/>
        <v>71.1</v>
      </c>
      <c r="D24" s="46">
        <f t="shared" si="5"/>
        <v>90</v>
      </c>
      <c r="E24" s="46">
        <f t="shared" si="5"/>
        <v>23.4</v>
      </c>
      <c r="F24" s="46">
        <f t="shared" si="5"/>
        <v>18.2</v>
      </c>
      <c r="G24" s="46">
        <f t="shared" si="5"/>
        <v>19</v>
      </c>
      <c r="H24" s="46">
        <f t="shared" si="5"/>
        <v>30</v>
      </c>
      <c r="I24" s="46">
        <f t="shared" si="5"/>
        <v>25.1</v>
      </c>
      <c r="J24" s="46">
        <f t="shared" si="5"/>
        <v>69</v>
      </c>
      <c r="K24" s="47">
        <f t="shared" si="5"/>
        <v>8</v>
      </c>
      <c r="L24" s="47">
        <f t="shared" si="5"/>
        <v>82</v>
      </c>
      <c r="M24" s="48"/>
      <c r="N24" s="49">
        <f t="shared" si="1"/>
        <v>469.8</v>
      </c>
      <c r="O24" s="49"/>
    </row>
    <row r="25" ht="15.75" customHeight="1">
      <c r="A25" s="29"/>
      <c r="B25" s="41"/>
      <c r="C25" s="29"/>
      <c r="D25" s="29"/>
      <c r="E25" s="29"/>
      <c r="F25" s="29"/>
      <c r="G25" s="29"/>
      <c r="H25" s="29"/>
      <c r="I25" s="29"/>
      <c r="J25" s="29"/>
      <c r="K25" s="50"/>
      <c r="L25" s="50"/>
      <c r="M25" s="42"/>
      <c r="N25" s="29">
        <f t="shared" si="1"/>
        <v>0</v>
      </c>
      <c r="O25" s="29"/>
    </row>
    <row r="26" ht="15.75" customHeight="1">
      <c r="A26" s="68">
        <v>45784.0</v>
      </c>
      <c r="B26" s="41"/>
      <c r="C26" s="29"/>
      <c r="D26" s="29"/>
      <c r="E26" s="29"/>
      <c r="F26" s="29"/>
      <c r="G26" s="29"/>
      <c r="H26" s="29"/>
      <c r="I26" s="29"/>
      <c r="J26" s="29"/>
      <c r="K26" s="50"/>
      <c r="L26" s="50"/>
      <c r="M26" s="42"/>
      <c r="N26" s="29">
        <f t="shared" si="1"/>
        <v>0</v>
      </c>
      <c r="O26" s="29"/>
    </row>
    <row r="27" ht="15.75" customHeight="1">
      <c r="A27" s="30" t="s">
        <v>14</v>
      </c>
      <c r="B27" s="30" t="s">
        <v>29</v>
      </c>
      <c r="C27" s="30" t="s">
        <v>30</v>
      </c>
      <c r="D27" s="30" t="s">
        <v>17</v>
      </c>
      <c r="E27" s="30" t="s">
        <v>31</v>
      </c>
      <c r="F27" s="30" t="s">
        <v>19</v>
      </c>
      <c r="G27" s="30" t="s">
        <v>20</v>
      </c>
      <c r="H27" s="30" t="s">
        <v>21</v>
      </c>
      <c r="I27" s="30" t="s">
        <v>22</v>
      </c>
      <c r="J27" s="30" t="s">
        <v>23</v>
      </c>
      <c r="K27" s="43" t="s">
        <v>24</v>
      </c>
      <c r="L27" s="44" t="s">
        <v>25</v>
      </c>
      <c r="M27" s="42"/>
      <c r="N27" s="29">
        <f t="shared" si="1"/>
        <v>0</v>
      </c>
      <c r="O27" s="29"/>
    </row>
    <row r="28" ht="15.75" customHeight="1">
      <c r="A28" s="32" t="s">
        <v>26</v>
      </c>
      <c r="B28" s="32">
        <v>60.0</v>
      </c>
      <c r="C28" s="33">
        <v>40.6</v>
      </c>
      <c r="D28" s="33">
        <v>0.0</v>
      </c>
      <c r="E28" s="32">
        <v>8.3</v>
      </c>
      <c r="F28" s="32">
        <v>23.9</v>
      </c>
      <c r="G28" s="33">
        <v>13.0</v>
      </c>
      <c r="H28" s="33">
        <v>19.5</v>
      </c>
      <c r="I28" s="32">
        <v>10.2</v>
      </c>
      <c r="J28" s="32">
        <v>27.2</v>
      </c>
      <c r="K28" s="45">
        <v>8.0</v>
      </c>
      <c r="L28" s="45">
        <v>28.0</v>
      </c>
      <c r="M28" s="42"/>
      <c r="N28" s="29">
        <f t="shared" si="1"/>
        <v>238.7</v>
      </c>
      <c r="O28" s="29"/>
    </row>
    <row r="29" ht="15.75" customHeight="1">
      <c r="A29" s="32" t="s">
        <v>27</v>
      </c>
      <c r="B29" s="32">
        <v>18.0</v>
      </c>
      <c r="C29" s="33">
        <v>31.0</v>
      </c>
      <c r="D29" s="33">
        <v>0.0</v>
      </c>
      <c r="E29" s="33">
        <v>0.0</v>
      </c>
      <c r="F29" s="33">
        <v>0.0</v>
      </c>
      <c r="G29" s="33">
        <v>0.0</v>
      </c>
      <c r="H29" s="33">
        <v>0.0</v>
      </c>
      <c r="I29" s="33">
        <v>0.0</v>
      </c>
      <c r="J29" s="33">
        <v>0.0</v>
      </c>
      <c r="K29" s="45">
        <v>2.0</v>
      </c>
      <c r="L29" s="45">
        <v>2.0</v>
      </c>
      <c r="M29" s="42"/>
      <c r="N29" s="29">
        <f t="shared" si="1"/>
        <v>53</v>
      </c>
      <c r="O29" s="29"/>
    </row>
    <row r="30" ht="15.75" customHeight="1">
      <c r="A30" s="34" t="s">
        <v>28</v>
      </c>
      <c r="B30" s="46">
        <f t="shared" ref="B30:L30" si="6">SUM(B28:B29)</f>
        <v>78</v>
      </c>
      <c r="C30" s="46">
        <f t="shared" si="6"/>
        <v>71.6</v>
      </c>
      <c r="D30" s="46">
        <f t="shared" si="6"/>
        <v>0</v>
      </c>
      <c r="E30" s="46">
        <f t="shared" si="6"/>
        <v>8.3</v>
      </c>
      <c r="F30" s="46">
        <f t="shared" si="6"/>
        <v>23.9</v>
      </c>
      <c r="G30" s="46">
        <f t="shared" si="6"/>
        <v>13</v>
      </c>
      <c r="H30" s="46">
        <f t="shared" si="6"/>
        <v>19.5</v>
      </c>
      <c r="I30" s="46">
        <f t="shared" si="6"/>
        <v>10.2</v>
      </c>
      <c r="J30" s="46">
        <f t="shared" si="6"/>
        <v>27.2</v>
      </c>
      <c r="K30" s="47">
        <f t="shared" si="6"/>
        <v>10</v>
      </c>
      <c r="L30" s="47">
        <f t="shared" si="6"/>
        <v>30</v>
      </c>
      <c r="M30" s="48"/>
      <c r="N30" s="49">
        <f t="shared" si="1"/>
        <v>291.7</v>
      </c>
      <c r="O30" s="49"/>
    </row>
    <row r="31" ht="15.75" customHeight="1">
      <c r="A31" s="41"/>
      <c r="B31" s="41"/>
      <c r="C31" s="29"/>
      <c r="D31" s="29"/>
      <c r="E31" s="29"/>
      <c r="F31" s="29"/>
      <c r="G31" s="29"/>
      <c r="H31" s="29"/>
      <c r="I31" s="29"/>
      <c r="J31" s="29"/>
      <c r="K31" s="50"/>
      <c r="L31" s="50"/>
      <c r="M31" s="29"/>
      <c r="N31" s="29">
        <f t="shared" si="1"/>
        <v>0</v>
      </c>
      <c r="O31" s="29"/>
    </row>
    <row r="32" ht="15.75" customHeight="1">
      <c r="A32" s="69">
        <v>45815.0</v>
      </c>
      <c r="B32" s="29"/>
      <c r="C32" s="29"/>
      <c r="D32" s="29"/>
      <c r="E32" s="29"/>
      <c r="F32" s="29"/>
      <c r="G32" s="29"/>
      <c r="H32" s="29"/>
      <c r="I32" s="29"/>
      <c r="J32" s="29"/>
      <c r="K32" s="50"/>
      <c r="L32" s="50"/>
      <c r="M32" s="29"/>
      <c r="N32" s="29">
        <f t="shared" si="1"/>
        <v>0</v>
      </c>
      <c r="O32" s="29"/>
    </row>
    <row r="33" ht="15.75" customHeight="1">
      <c r="A33" s="30" t="s">
        <v>14</v>
      </c>
      <c r="B33" s="30" t="s">
        <v>29</v>
      </c>
      <c r="C33" s="30" t="s">
        <v>30</v>
      </c>
      <c r="D33" s="30" t="s">
        <v>17</v>
      </c>
      <c r="E33" s="30" t="s">
        <v>31</v>
      </c>
      <c r="F33" s="30" t="s">
        <v>19</v>
      </c>
      <c r="G33" s="30" t="s">
        <v>20</v>
      </c>
      <c r="H33" s="30" t="s">
        <v>21</v>
      </c>
      <c r="I33" s="30" t="s">
        <v>22</v>
      </c>
      <c r="J33" s="30" t="s">
        <v>23</v>
      </c>
      <c r="K33" s="43" t="s">
        <v>24</v>
      </c>
      <c r="L33" s="44" t="s">
        <v>25</v>
      </c>
      <c r="M33" s="42"/>
      <c r="N33" s="29">
        <f t="shared" si="1"/>
        <v>0</v>
      </c>
      <c r="O33" s="29"/>
    </row>
    <row r="34" ht="15.75" customHeight="1">
      <c r="A34" s="32" t="s">
        <v>26</v>
      </c>
      <c r="B34" s="32">
        <v>27.0</v>
      </c>
      <c r="C34" s="33">
        <v>26.0</v>
      </c>
      <c r="D34" s="33">
        <v>0.0</v>
      </c>
      <c r="E34" s="32">
        <v>15.2</v>
      </c>
      <c r="F34" s="32">
        <v>14.4</v>
      </c>
      <c r="G34" s="33">
        <v>15.5</v>
      </c>
      <c r="H34" s="33">
        <v>18.2</v>
      </c>
      <c r="I34" s="32">
        <v>12.4</v>
      </c>
      <c r="J34" s="32">
        <v>34.4</v>
      </c>
      <c r="K34" s="45">
        <v>8.0</v>
      </c>
      <c r="L34" s="45">
        <v>20.0</v>
      </c>
      <c r="M34" s="42"/>
      <c r="N34" s="29">
        <f t="shared" si="1"/>
        <v>191.1</v>
      </c>
      <c r="O34" s="29"/>
    </row>
    <row r="35" ht="15.75" customHeight="1">
      <c r="A35" s="32" t="s">
        <v>27</v>
      </c>
      <c r="B35" s="32">
        <v>7.0</v>
      </c>
      <c r="C35" s="33">
        <v>28.09</v>
      </c>
      <c r="D35" s="33">
        <v>0.0</v>
      </c>
      <c r="E35" s="33">
        <v>0.0</v>
      </c>
      <c r="F35" s="33">
        <v>0.0</v>
      </c>
      <c r="G35" s="33">
        <v>0.0</v>
      </c>
      <c r="H35" s="33">
        <v>0.0</v>
      </c>
      <c r="I35" s="33">
        <v>0.0</v>
      </c>
      <c r="J35" s="33">
        <v>0.0</v>
      </c>
      <c r="K35" s="45">
        <v>0.0</v>
      </c>
      <c r="L35" s="45">
        <v>1.0</v>
      </c>
      <c r="M35" s="42"/>
      <c r="N35" s="29">
        <f t="shared" si="1"/>
        <v>36.09</v>
      </c>
      <c r="O35" s="29"/>
    </row>
    <row r="36" ht="15.75" customHeight="1">
      <c r="A36" s="34" t="s">
        <v>28</v>
      </c>
      <c r="B36" s="46">
        <f t="shared" ref="B36:L36" si="7">SUM(B34:B35)</f>
        <v>34</v>
      </c>
      <c r="C36" s="46">
        <f t="shared" si="7"/>
        <v>54.09</v>
      </c>
      <c r="D36" s="46">
        <f t="shared" si="7"/>
        <v>0</v>
      </c>
      <c r="E36" s="46">
        <f t="shared" si="7"/>
        <v>15.2</v>
      </c>
      <c r="F36" s="46">
        <f t="shared" si="7"/>
        <v>14.4</v>
      </c>
      <c r="G36" s="46">
        <f t="shared" si="7"/>
        <v>15.5</v>
      </c>
      <c r="H36" s="46">
        <f t="shared" si="7"/>
        <v>18.2</v>
      </c>
      <c r="I36" s="46">
        <f t="shared" si="7"/>
        <v>12.4</v>
      </c>
      <c r="J36" s="46">
        <f t="shared" si="7"/>
        <v>34.4</v>
      </c>
      <c r="K36" s="47">
        <f t="shared" si="7"/>
        <v>8</v>
      </c>
      <c r="L36" s="47">
        <f t="shared" si="7"/>
        <v>21</v>
      </c>
      <c r="M36" s="51"/>
      <c r="N36" s="49">
        <f t="shared" si="1"/>
        <v>227.19</v>
      </c>
      <c r="O36" s="4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54"/>
      <c r="L37" s="54"/>
      <c r="M37" s="42"/>
      <c r="N37" s="29">
        <f t="shared" si="1"/>
        <v>0</v>
      </c>
      <c r="O37" s="29"/>
    </row>
    <row r="38" ht="15.75" customHeight="1">
      <c r="A38" s="69">
        <v>45845.0</v>
      </c>
      <c r="B38" s="29"/>
      <c r="C38" s="29"/>
      <c r="D38" s="29"/>
      <c r="E38" s="29"/>
      <c r="F38" s="29"/>
      <c r="G38" s="29"/>
      <c r="H38" s="29"/>
      <c r="I38" s="29"/>
      <c r="J38" s="29"/>
      <c r="K38" s="50"/>
      <c r="L38" s="50"/>
      <c r="M38" s="42"/>
      <c r="N38" s="29">
        <f t="shared" si="1"/>
        <v>0</v>
      </c>
      <c r="O38" s="29"/>
    </row>
    <row r="39" ht="15.75" customHeight="1">
      <c r="A39" s="30" t="s">
        <v>14</v>
      </c>
      <c r="B39" s="30" t="s">
        <v>29</v>
      </c>
      <c r="C39" s="30" t="s">
        <v>30</v>
      </c>
      <c r="D39" s="30" t="s">
        <v>17</v>
      </c>
      <c r="E39" s="30" t="s">
        <v>31</v>
      </c>
      <c r="F39" s="30" t="s">
        <v>19</v>
      </c>
      <c r="G39" s="30" t="s">
        <v>20</v>
      </c>
      <c r="H39" s="30" t="s">
        <v>21</v>
      </c>
      <c r="I39" s="30" t="s">
        <v>22</v>
      </c>
      <c r="J39" s="30" t="s">
        <v>23</v>
      </c>
      <c r="K39" s="44" t="s">
        <v>24</v>
      </c>
      <c r="L39" s="44" t="s">
        <v>25</v>
      </c>
      <c r="M39" s="42"/>
      <c r="N39" s="29">
        <f t="shared" si="1"/>
        <v>0</v>
      </c>
      <c r="O39" s="29"/>
    </row>
    <row r="40" ht="15.75" customHeight="1">
      <c r="A40" s="32" t="s">
        <v>26</v>
      </c>
      <c r="B40" s="32">
        <v>42.0</v>
      </c>
      <c r="C40" s="32">
        <v>15.2</v>
      </c>
      <c r="D40" s="33">
        <v>35.0</v>
      </c>
      <c r="E40" s="32">
        <v>20.0</v>
      </c>
      <c r="F40" s="32">
        <v>13.4</v>
      </c>
      <c r="G40" s="33">
        <v>18.0</v>
      </c>
      <c r="H40" s="33">
        <v>19.0</v>
      </c>
      <c r="I40" s="32">
        <v>27.6</v>
      </c>
      <c r="J40" s="32">
        <v>24.3</v>
      </c>
      <c r="K40" s="45">
        <v>25.0</v>
      </c>
      <c r="L40" s="55">
        <v>80.0</v>
      </c>
      <c r="M40" s="42"/>
      <c r="N40" s="29">
        <f t="shared" si="1"/>
        <v>319.5</v>
      </c>
      <c r="O40" s="29"/>
    </row>
    <row r="41" ht="15.75" customHeight="1">
      <c r="A41" s="32" t="s">
        <v>27</v>
      </c>
      <c r="B41" s="32">
        <v>16.0</v>
      </c>
      <c r="C41" s="32">
        <v>10.1</v>
      </c>
      <c r="D41" s="52">
        <v>36.0</v>
      </c>
      <c r="E41" s="33">
        <v>0.0</v>
      </c>
      <c r="F41" s="33">
        <v>0.0</v>
      </c>
      <c r="G41" s="33">
        <v>0.0</v>
      </c>
      <c r="H41" s="33">
        <v>0.0</v>
      </c>
      <c r="I41" s="33">
        <v>0.0</v>
      </c>
      <c r="J41" s="33">
        <v>0.0</v>
      </c>
      <c r="K41" s="45">
        <v>2.0</v>
      </c>
      <c r="L41" s="45">
        <v>0.0</v>
      </c>
      <c r="M41" s="42"/>
      <c r="N41" s="29">
        <f t="shared" si="1"/>
        <v>64.1</v>
      </c>
      <c r="O41" s="29"/>
    </row>
    <row r="42" ht="15.75" customHeight="1">
      <c r="A42" s="34" t="s">
        <v>28</v>
      </c>
      <c r="B42" s="46">
        <f t="shared" ref="B42:L42" si="8">SUM(B40:B41)</f>
        <v>58</v>
      </c>
      <c r="C42" s="46">
        <f t="shared" si="8"/>
        <v>25.3</v>
      </c>
      <c r="D42" s="46">
        <f t="shared" si="8"/>
        <v>71</v>
      </c>
      <c r="E42" s="46">
        <f t="shared" si="8"/>
        <v>20</v>
      </c>
      <c r="F42" s="46">
        <f t="shared" si="8"/>
        <v>13.4</v>
      </c>
      <c r="G42" s="46">
        <f t="shared" si="8"/>
        <v>18</v>
      </c>
      <c r="H42" s="46">
        <f t="shared" si="8"/>
        <v>19</v>
      </c>
      <c r="I42" s="46">
        <f t="shared" si="8"/>
        <v>27.6</v>
      </c>
      <c r="J42" s="46">
        <f t="shared" si="8"/>
        <v>24.3</v>
      </c>
      <c r="K42" s="47">
        <f t="shared" si="8"/>
        <v>27</v>
      </c>
      <c r="L42" s="47">
        <f t="shared" si="8"/>
        <v>80</v>
      </c>
      <c r="M42" s="51"/>
      <c r="N42" s="49">
        <f t="shared" si="1"/>
        <v>383.6</v>
      </c>
      <c r="O42" s="4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50"/>
      <c r="L43" s="50"/>
      <c r="M43" s="42"/>
      <c r="N43" s="29">
        <f t="shared" si="1"/>
        <v>0</v>
      </c>
      <c r="O43" s="29"/>
    </row>
    <row r="44" ht="15.75" customHeight="1">
      <c r="A44" s="69">
        <v>45876.0</v>
      </c>
      <c r="B44" s="29"/>
      <c r="C44" s="29"/>
      <c r="D44" s="29"/>
      <c r="E44" s="29"/>
      <c r="F44" s="29"/>
      <c r="G44" s="29"/>
      <c r="H44" s="29"/>
      <c r="I44" s="29"/>
      <c r="J44" s="29"/>
      <c r="K44" s="50"/>
      <c r="L44" s="50"/>
      <c r="M44" s="42"/>
      <c r="N44" s="29">
        <f t="shared" si="1"/>
        <v>0</v>
      </c>
      <c r="O44" s="29"/>
    </row>
    <row r="45" ht="15.75" customHeight="1">
      <c r="A45" s="30" t="s">
        <v>14</v>
      </c>
      <c r="B45" s="30" t="s">
        <v>29</v>
      </c>
      <c r="C45" s="30" t="s">
        <v>30</v>
      </c>
      <c r="D45" s="30" t="s">
        <v>17</v>
      </c>
      <c r="E45" s="30" t="s">
        <v>31</v>
      </c>
      <c r="F45" s="30" t="s">
        <v>19</v>
      </c>
      <c r="G45" s="30" t="s">
        <v>20</v>
      </c>
      <c r="H45" s="30" t="s">
        <v>21</v>
      </c>
      <c r="I45" s="30" t="s">
        <v>22</v>
      </c>
      <c r="J45" s="30" t="s">
        <v>23</v>
      </c>
      <c r="K45" s="44" t="s">
        <v>24</v>
      </c>
      <c r="L45" s="44" t="s">
        <v>25</v>
      </c>
      <c r="M45" s="42"/>
      <c r="N45" s="29">
        <f t="shared" si="1"/>
        <v>0</v>
      </c>
      <c r="O45" s="29"/>
    </row>
    <row r="46" ht="15.75" customHeight="1">
      <c r="A46" s="31" t="s">
        <v>26</v>
      </c>
      <c r="B46" s="32">
        <v>64.0</v>
      </c>
      <c r="C46" s="32">
        <v>21.1</v>
      </c>
      <c r="D46" s="33">
        <v>0.0</v>
      </c>
      <c r="E46" s="32">
        <v>11.4</v>
      </c>
      <c r="F46" s="32">
        <v>19.2</v>
      </c>
      <c r="G46" s="33">
        <v>19.0</v>
      </c>
      <c r="H46" s="33">
        <v>10.9</v>
      </c>
      <c r="I46" s="32">
        <v>16.4</v>
      </c>
      <c r="J46" s="32">
        <v>20.2</v>
      </c>
      <c r="K46" s="45">
        <v>8.0</v>
      </c>
      <c r="L46" s="45">
        <v>70.0</v>
      </c>
      <c r="M46" s="42"/>
      <c r="N46" s="29">
        <f t="shared" si="1"/>
        <v>260.2</v>
      </c>
      <c r="O46" s="29"/>
    </row>
    <row r="47" ht="15.75" customHeight="1">
      <c r="A47" s="31" t="s">
        <v>27</v>
      </c>
      <c r="B47" s="32">
        <v>50.0</v>
      </c>
      <c r="C47" s="32">
        <v>14.3</v>
      </c>
      <c r="D47" s="33">
        <v>0.0</v>
      </c>
      <c r="E47" s="33">
        <v>0.0</v>
      </c>
      <c r="F47" s="33">
        <v>0.0</v>
      </c>
      <c r="G47" s="33">
        <v>8.0</v>
      </c>
      <c r="H47" s="33">
        <v>10.0</v>
      </c>
      <c r="I47" s="33">
        <v>0.0</v>
      </c>
      <c r="J47" s="33">
        <v>0.0</v>
      </c>
      <c r="K47" s="45">
        <v>0.0</v>
      </c>
      <c r="L47" s="45">
        <v>1.0</v>
      </c>
      <c r="M47" s="42"/>
      <c r="N47" s="29">
        <f t="shared" si="1"/>
        <v>83.3</v>
      </c>
      <c r="O47" s="29"/>
    </row>
    <row r="48" ht="15.75" customHeight="1">
      <c r="A48" s="34" t="s">
        <v>28</v>
      </c>
      <c r="B48" s="46">
        <f t="shared" ref="B48:L48" si="9">SUM(B46:B47)</f>
        <v>114</v>
      </c>
      <c r="C48" s="46">
        <f t="shared" si="9"/>
        <v>35.4</v>
      </c>
      <c r="D48" s="46">
        <f t="shared" si="9"/>
        <v>0</v>
      </c>
      <c r="E48" s="46">
        <f t="shared" si="9"/>
        <v>11.4</v>
      </c>
      <c r="F48" s="46">
        <f t="shared" si="9"/>
        <v>19.2</v>
      </c>
      <c r="G48" s="46">
        <f t="shared" si="9"/>
        <v>27</v>
      </c>
      <c r="H48" s="46">
        <f t="shared" si="9"/>
        <v>20.9</v>
      </c>
      <c r="I48" s="46">
        <f t="shared" si="9"/>
        <v>16.4</v>
      </c>
      <c r="J48" s="46">
        <f t="shared" si="9"/>
        <v>20.2</v>
      </c>
      <c r="K48" s="47">
        <f t="shared" si="9"/>
        <v>8</v>
      </c>
      <c r="L48" s="47">
        <f t="shared" si="9"/>
        <v>71</v>
      </c>
      <c r="M48" s="51"/>
      <c r="N48" s="49">
        <f t="shared" si="1"/>
        <v>343.5</v>
      </c>
      <c r="O48" s="4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50"/>
      <c r="L49" s="50"/>
      <c r="M49" s="42"/>
      <c r="N49" s="29">
        <f t="shared" si="1"/>
        <v>0</v>
      </c>
      <c r="O49" s="29"/>
    </row>
    <row r="50" ht="15.75" customHeight="1">
      <c r="A50" s="69">
        <v>45907.0</v>
      </c>
      <c r="B50" s="29"/>
      <c r="C50" s="29"/>
      <c r="D50" s="29"/>
      <c r="E50" s="29"/>
      <c r="F50" s="29"/>
      <c r="G50" s="29"/>
      <c r="H50" s="29"/>
      <c r="I50" s="29"/>
      <c r="J50" s="29"/>
      <c r="K50" s="50"/>
      <c r="L50" s="50"/>
      <c r="M50" s="42"/>
      <c r="N50" s="29">
        <f t="shared" si="1"/>
        <v>0</v>
      </c>
      <c r="O50" s="29"/>
    </row>
    <row r="51" ht="15.75" customHeight="1">
      <c r="A51" s="30" t="s">
        <v>14</v>
      </c>
      <c r="B51" s="30" t="s">
        <v>29</v>
      </c>
      <c r="C51" s="30" t="s">
        <v>30</v>
      </c>
      <c r="D51" s="30" t="s">
        <v>17</v>
      </c>
      <c r="E51" s="30" t="s">
        <v>31</v>
      </c>
      <c r="F51" s="30" t="s">
        <v>19</v>
      </c>
      <c r="G51" s="30" t="s">
        <v>20</v>
      </c>
      <c r="H51" s="30" t="s">
        <v>21</v>
      </c>
      <c r="I51" s="30" t="s">
        <v>22</v>
      </c>
      <c r="J51" s="30" t="s">
        <v>23</v>
      </c>
      <c r="K51" s="44" t="s">
        <v>24</v>
      </c>
      <c r="L51" s="44" t="s">
        <v>25</v>
      </c>
      <c r="M51" s="42"/>
      <c r="N51" s="29">
        <f t="shared" si="1"/>
        <v>0</v>
      </c>
      <c r="O51" s="29"/>
    </row>
    <row r="52" ht="15.75" customHeight="1">
      <c r="A52" s="31" t="s">
        <v>26</v>
      </c>
      <c r="B52" s="32">
        <v>74.0</v>
      </c>
      <c r="C52" s="33">
        <v>37.5</v>
      </c>
      <c r="D52" s="33">
        <v>0.0</v>
      </c>
      <c r="E52" s="32">
        <v>8.2</v>
      </c>
      <c r="F52" s="32">
        <v>13.0</v>
      </c>
      <c r="G52" s="33">
        <v>16.8</v>
      </c>
      <c r="H52" s="33">
        <v>12.8</v>
      </c>
      <c r="I52" s="32">
        <v>22.3</v>
      </c>
      <c r="J52" s="32">
        <v>10.2</v>
      </c>
      <c r="K52" s="45">
        <v>24.0</v>
      </c>
      <c r="L52" s="45">
        <v>86.0</v>
      </c>
      <c r="M52" s="42"/>
      <c r="N52" s="29">
        <f t="shared" si="1"/>
        <v>304.8</v>
      </c>
      <c r="O52" s="29"/>
    </row>
    <row r="53" ht="15.75" customHeight="1">
      <c r="A53" s="31" t="s">
        <v>27</v>
      </c>
      <c r="B53" s="32">
        <v>32.0</v>
      </c>
      <c r="C53" s="33">
        <v>18.9</v>
      </c>
      <c r="D53" s="33">
        <v>0.0</v>
      </c>
      <c r="E53" s="33">
        <v>0.0</v>
      </c>
      <c r="F53" s="33">
        <v>0.0</v>
      </c>
      <c r="G53" s="33">
        <v>0.0</v>
      </c>
      <c r="H53" s="33">
        <v>0.0</v>
      </c>
      <c r="I53" s="33">
        <v>0.0</v>
      </c>
      <c r="J53" s="33">
        <v>0.0</v>
      </c>
      <c r="K53" s="45">
        <v>2.0</v>
      </c>
      <c r="L53" s="45">
        <v>0.0</v>
      </c>
      <c r="M53" s="42"/>
      <c r="N53" s="29">
        <f t="shared" si="1"/>
        <v>52.9</v>
      </c>
      <c r="O53" s="29"/>
    </row>
    <row r="54" ht="15.75" customHeight="1">
      <c r="A54" s="34" t="s">
        <v>28</v>
      </c>
      <c r="B54" s="34">
        <v>106.0</v>
      </c>
      <c r="C54" s="34">
        <v>0.0</v>
      </c>
      <c r="D54" s="34">
        <v>0.0</v>
      </c>
      <c r="E54" s="34">
        <v>8.2</v>
      </c>
      <c r="F54" s="34">
        <v>13.0</v>
      </c>
      <c r="G54" s="34">
        <v>0.0</v>
      </c>
      <c r="H54" s="34">
        <v>0.0</v>
      </c>
      <c r="I54" s="34">
        <v>22.3</v>
      </c>
      <c r="J54" s="34">
        <v>10.2</v>
      </c>
      <c r="K54" s="47">
        <f t="shared" ref="K54:L54" si="10">SUM(K52:K53)</f>
        <v>26</v>
      </c>
      <c r="L54" s="47">
        <f t="shared" si="10"/>
        <v>86</v>
      </c>
      <c r="M54" s="51"/>
      <c r="N54" s="49">
        <f t="shared" si="1"/>
        <v>271.7</v>
      </c>
      <c r="O54" s="4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50"/>
      <c r="L55" s="50"/>
      <c r="M55" s="42"/>
      <c r="N55" s="29">
        <f t="shared" si="1"/>
        <v>0</v>
      </c>
      <c r="O55" s="29"/>
    </row>
    <row r="56" ht="15.75" customHeight="1">
      <c r="A56" s="69">
        <v>45937.0</v>
      </c>
      <c r="B56" s="29"/>
      <c r="C56" s="29"/>
      <c r="D56" s="29"/>
      <c r="E56" s="29"/>
      <c r="F56" s="29"/>
      <c r="G56" s="29"/>
      <c r="H56" s="29"/>
      <c r="I56" s="29"/>
      <c r="J56" s="29"/>
      <c r="K56" s="50"/>
      <c r="L56" s="50"/>
      <c r="M56" s="42"/>
      <c r="N56" s="29">
        <f t="shared" si="1"/>
        <v>0</v>
      </c>
      <c r="O56" s="29"/>
    </row>
    <row r="57" ht="15.75" customHeight="1">
      <c r="A57" s="30" t="s">
        <v>14</v>
      </c>
      <c r="B57" s="30" t="s">
        <v>29</v>
      </c>
      <c r="C57" s="30" t="s">
        <v>30</v>
      </c>
      <c r="D57" s="30" t="s">
        <v>17</v>
      </c>
      <c r="E57" s="30" t="s">
        <v>31</v>
      </c>
      <c r="F57" s="30" t="s">
        <v>19</v>
      </c>
      <c r="G57" s="30" t="s">
        <v>20</v>
      </c>
      <c r="H57" s="30" t="s">
        <v>21</v>
      </c>
      <c r="I57" s="30" t="s">
        <v>22</v>
      </c>
      <c r="J57" s="30" t="s">
        <v>23</v>
      </c>
      <c r="K57" s="44" t="s">
        <v>24</v>
      </c>
      <c r="L57" s="44" t="s">
        <v>25</v>
      </c>
      <c r="M57" s="42"/>
      <c r="N57" s="29">
        <f t="shared" si="1"/>
        <v>0</v>
      </c>
      <c r="O57" s="29"/>
    </row>
    <row r="58" ht="15.75" customHeight="1">
      <c r="A58" s="31" t="s">
        <v>26</v>
      </c>
      <c r="B58" s="32">
        <v>93.0</v>
      </c>
      <c r="C58" s="33">
        <v>80.0</v>
      </c>
      <c r="D58" s="33">
        <v>35.0</v>
      </c>
      <c r="E58" s="32">
        <v>18.0</v>
      </c>
      <c r="F58" s="32">
        <v>14.8</v>
      </c>
      <c r="G58" s="33">
        <v>25.0</v>
      </c>
      <c r="H58" s="33">
        <v>29.0</v>
      </c>
      <c r="I58" s="32">
        <v>27.0</v>
      </c>
      <c r="J58" s="32">
        <v>10.2</v>
      </c>
      <c r="K58" s="45">
        <v>27.0</v>
      </c>
      <c r="L58" s="45">
        <v>80.0</v>
      </c>
      <c r="M58" s="42"/>
      <c r="N58" s="29">
        <f t="shared" si="1"/>
        <v>439</v>
      </c>
      <c r="O58" s="29"/>
    </row>
    <row r="59" ht="15.75" customHeight="1">
      <c r="A59" s="31" t="s">
        <v>27</v>
      </c>
      <c r="B59" s="32">
        <v>52.0</v>
      </c>
      <c r="C59" s="33">
        <v>36.0</v>
      </c>
      <c r="D59" s="33">
        <v>10.0</v>
      </c>
      <c r="E59" s="33">
        <v>0.0</v>
      </c>
      <c r="F59" s="33">
        <v>0.0</v>
      </c>
      <c r="G59" s="33">
        <v>0.0</v>
      </c>
      <c r="H59" s="33">
        <v>0.0</v>
      </c>
      <c r="I59" s="33">
        <v>0.0</v>
      </c>
      <c r="J59" s="33">
        <v>0.0</v>
      </c>
      <c r="K59" s="45">
        <v>2.0</v>
      </c>
      <c r="L59" s="45">
        <v>0.0</v>
      </c>
      <c r="M59" s="42"/>
      <c r="N59" s="29">
        <f t="shared" si="1"/>
        <v>100</v>
      </c>
      <c r="O59" s="29"/>
    </row>
    <row r="60" ht="15.75" customHeight="1">
      <c r="A60" s="34" t="s">
        <v>28</v>
      </c>
      <c r="B60" s="46">
        <f t="shared" ref="B60:L60" si="11">SUM(B58:B59)</f>
        <v>145</v>
      </c>
      <c r="C60" s="46">
        <f t="shared" si="11"/>
        <v>116</v>
      </c>
      <c r="D60" s="46">
        <f t="shared" si="11"/>
        <v>45</v>
      </c>
      <c r="E60" s="46">
        <f t="shared" si="11"/>
        <v>18</v>
      </c>
      <c r="F60" s="46">
        <f t="shared" si="11"/>
        <v>14.8</v>
      </c>
      <c r="G60" s="46">
        <f t="shared" si="11"/>
        <v>25</v>
      </c>
      <c r="H60" s="46">
        <f t="shared" si="11"/>
        <v>29</v>
      </c>
      <c r="I60" s="46">
        <f t="shared" si="11"/>
        <v>27</v>
      </c>
      <c r="J60" s="46">
        <f t="shared" si="11"/>
        <v>10.2</v>
      </c>
      <c r="K60" s="47">
        <f t="shared" si="11"/>
        <v>29</v>
      </c>
      <c r="L60" s="47">
        <f t="shared" si="11"/>
        <v>80</v>
      </c>
      <c r="M60" s="48"/>
      <c r="N60" s="49">
        <f t="shared" si="1"/>
        <v>539</v>
      </c>
      <c r="O60" s="4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50"/>
      <c r="L61" s="50"/>
      <c r="M61" s="42"/>
      <c r="N61" s="29">
        <f t="shared" si="1"/>
        <v>0</v>
      </c>
      <c r="O61" s="29"/>
    </row>
    <row r="62" ht="15.75" customHeight="1">
      <c r="A62" s="69">
        <v>45968.0</v>
      </c>
      <c r="B62" s="29"/>
      <c r="C62" s="29"/>
      <c r="D62" s="29"/>
      <c r="E62" s="29"/>
      <c r="F62" s="29"/>
      <c r="G62" s="29"/>
      <c r="H62" s="29"/>
      <c r="I62" s="29"/>
      <c r="J62" s="29"/>
      <c r="K62" s="50"/>
      <c r="L62" s="50"/>
      <c r="M62" s="42"/>
      <c r="N62" s="29">
        <f t="shared" si="1"/>
        <v>0</v>
      </c>
      <c r="O62" s="29"/>
    </row>
    <row r="63" ht="15.75" customHeight="1">
      <c r="A63" s="30" t="s">
        <v>14</v>
      </c>
      <c r="B63" s="30" t="s">
        <v>29</v>
      </c>
      <c r="C63" s="30" t="s">
        <v>30</v>
      </c>
      <c r="D63" s="30" t="s">
        <v>17</v>
      </c>
      <c r="E63" s="30" t="s">
        <v>31</v>
      </c>
      <c r="F63" s="30" t="s">
        <v>19</v>
      </c>
      <c r="G63" s="30" t="s">
        <v>20</v>
      </c>
      <c r="H63" s="30" t="s">
        <v>21</v>
      </c>
      <c r="I63" s="30" t="s">
        <v>22</v>
      </c>
      <c r="J63" s="30" t="s">
        <v>23</v>
      </c>
      <c r="K63" s="44" t="s">
        <v>24</v>
      </c>
      <c r="L63" s="44" t="s">
        <v>25</v>
      </c>
      <c r="M63" s="42"/>
      <c r="N63" s="29">
        <f t="shared" si="1"/>
        <v>0</v>
      </c>
      <c r="O63" s="29"/>
    </row>
    <row r="64" ht="15.75" customHeight="1">
      <c r="A64" s="31" t="s">
        <v>26</v>
      </c>
      <c r="B64" s="32">
        <v>71.0</v>
      </c>
      <c r="C64" s="33">
        <v>21.66</v>
      </c>
      <c r="D64" s="32">
        <v>55.0</v>
      </c>
      <c r="E64" s="32">
        <v>10.4</v>
      </c>
      <c r="F64" s="32">
        <v>18.9</v>
      </c>
      <c r="G64" s="33">
        <v>27.0</v>
      </c>
      <c r="H64" s="33">
        <v>28.0</v>
      </c>
      <c r="I64" s="32">
        <v>25.0</v>
      </c>
      <c r="J64" s="32">
        <v>18.0</v>
      </c>
      <c r="K64" s="45">
        <v>20.0</v>
      </c>
      <c r="L64" s="45">
        <v>79.0</v>
      </c>
      <c r="M64" s="42"/>
      <c r="N64" s="29">
        <f t="shared" si="1"/>
        <v>373.96</v>
      </c>
      <c r="O64" s="29"/>
    </row>
    <row r="65" ht="15.75" customHeight="1">
      <c r="A65" s="31" t="s">
        <v>27</v>
      </c>
      <c r="B65" s="32">
        <v>31.0</v>
      </c>
      <c r="C65" s="33">
        <v>0.0</v>
      </c>
      <c r="D65" s="32">
        <v>30.0</v>
      </c>
      <c r="E65" s="32">
        <v>44.34</v>
      </c>
      <c r="F65" s="32">
        <v>44.34</v>
      </c>
      <c r="G65" s="32">
        <v>44.34</v>
      </c>
      <c r="H65" s="33">
        <v>22.0</v>
      </c>
      <c r="I65" s="32">
        <v>45.0</v>
      </c>
      <c r="J65" s="32">
        <v>45.0</v>
      </c>
      <c r="K65" s="45">
        <v>1.0</v>
      </c>
      <c r="L65" s="45">
        <v>0.0</v>
      </c>
      <c r="M65" s="42"/>
      <c r="N65" s="29">
        <f t="shared" si="1"/>
        <v>307.02</v>
      </c>
      <c r="O65" s="29"/>
    </row>
    <row r="66" ht="15.75" customHeight="1">
      <c r="A66" s="34" t="s">
        <v>28</v>
      </c>
      <c r="B66" s="46">
        <f t="shared" ref="B66:L66" si="12">SUM(B64:B65)</f>
        <v>102</v>
      </c>
      <c r="C66" s="46">
        <f t="shared" si="12"/>
        <v>21.66</v>
      </c>
      <c r="D66" s="46">
        <f t="shared" si="12"/>
        <v>85</v>
      </c>
      <c r="E66" s="46">
        <f t="shared" si="12"/>
        <v>54.74</v>
      </c>
      <c r="F66" s="46">
        <f t="shared" si="12"/>
        <v>63.24</v>
      </c>
      <c r="G66" s="46">
        <f t="shared" si="12"/>
        <v>71.34</v>
      </c>
      <c r="H66" s="46">
        <f t="shared" si="12"/>
        <v>50</v>
      </c>
      <c r="I66" s="46">
        <f t="shared" si="12"/>
        <v>70</v>
      </c>
      <c r="J66" s="46">
        <f t="shared" si="12"/>
        <v>63</v>
      </c>
      <c r="K66" s="47">
        <f t="shared" si="12"/>
        <v>21</v>
      </c>
      <c r="L66" s="47">
        <f t="shared" si="12"/>
        <v>79</v>
      </c>
      <c r="M66" s="48"/>
      <c r="N66" s="49">
        <f t="shared" si="1"/>
        <v>680.98</v>
      </c>
      <c r="O66" s="4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50"/>
      <c r="L67" s="50"/>
      <c r="M67" s="42"/>
      <c r="N67" s="29">
        <f t="shared" si="1"/>
        <v>0</v>
      </c>
      <c r="O67" s="29"/>
    </row>
    <row r="68" ht="15.75" customHeight="1">
      <c r="A68" s="70">
        <v>45998.0</v>
      </c>
      <c r="B68" s="29"/>
      <c r="C68" s="29"/>
      <c r="D68" s="29"/>
      <c r="E68" s="29"/>
      <c r="F68" s="29"/>
      <c r="G68" s="29"/>
      <c r="H68" s="29"/>
      <c r="I68" s="29"/>
      <c r="J68" s="29"/>
      <c r="K68" s="50"/>
      <c r="L68" s="50"/>
      <c r="M68" s="42"/>
      <c r="N68" s="29">
        <f t="shared" si="1"/>
        <v>0</v>
      </c>
      <c r="O68" s="29"/>
    </row>
    <row r="69" ht="15.75" customHeight="1">
      <c r="A69" s="56" t="s">
        <v>14</v>
      </c>
      <c r="B69" s="30" t="s">
        <v>29</v>
      </c>
      <c r="C69" s="30" t="s">
        <v>30</v>
      </c>
      <c r="D69" s="30" t="s">
        <v>17</v>
      </c>
      <c r="E69" s="30" t="s">
        <v>31</v>
      </c>
      <c r="F69" s="30" t="s">
        <v>19</v>
      </c>
      <c r="G69" s="30" t="s">
        <v>20</v>
      </c>
      <c r="H69" s="30" t="s">
        <v>21</v>
      </c>
      <c r="I69" s="30" t="s">
        <v>22</v>
      </c>
      <c r="J69" s="30" t="s">
        <v>23</v>
      </c>
      <c r="K69" s="44" t="s">
        <v>24</v>
      </c>
      <c r="L69" s="44" t="s">
        <v>25</v>
      </c>
      <c r="M69" s="42"/>
      <c r="N69" s="29">
        <f t="shared" si="1"/>
        <v>0</v>
      </c>
      <c r="O69" s="29"/>
    </row>
    <row r="70" ht="15.75" customHeight="1">
      <c r="A70" s="31" t="s">
        <v>26</v>
      </c>
      <c r="B70" s="33">
        <v>31.2</v>
      </c>
      <c r="C70" s="33">
        <v>68.0</v>
      </c>
      <c r="D70" s="33">
        <v>0.0</v>
      </c>
      <c r="E70" s="32">
        <v>11.0</v>
      </c>
      <c r="F70" s="32">
        <v>12.3</v>
      </c>
      <c r="G70" s="33">
        <v>15.0</v>
      </c>
      <c r="H70" s="33">
        <v>28.0</v>
      </c>
      <c r="I70" s="32">
        <v>25.0</v>
      </c>
      <c r="J70" s="32">
        <v>42.0</v>
      </c>
      <c r="K70" s="45">
        <v>17.0</v>
      </c>
      <c r="L70" s="45">
        <v>80.0</v>
      </c>
      <c r="M70" s="42"/>
      <c r="N70" s="29">
        <f t="shared" si="1"/>
        <v>329.5</v>
      </c>
      <c r="O70" s="29"/>
    </row>
    <row r="71" ht="15.75" customHeight="1">
      <c r="A71" s="31" t="s">
        <v>27</v>
      </c>
      <c r="B71" s="33">
        <v>25.8</v>
      </c>
      <c r="C71" s="33">
        <v>10.0</v>
      </c>
      <c r="D71" s="33">
        <v>0.0</v>
      </c>
      <c r="E71" s="33">
        <v>0.0</v>
      </c>
      <c r="F71" s="33">
        <v>0.0</v>
      </c>
      <c r="G71" s="33">
        <v>10.0</v>
      </c>
      <c r="H71" s="33">
        <v>10.0</v>
      </c>
      <c r="I71" s="33">
        <v>10.0</v>
      </c>
      <c r="J71" s="33">
        <v>19.0</v>
      </c>
      <c r="K71" s="45">
        <v>2.0</v>
      </c>
      <c r="L71" s="45">
        <v>0.0</v>
      </c>
      <c r="M71" s="42"/>
      <c r="N71" s="29">
        <f t="shared" si="1"/>
        <v>86.8</v>
      </c>
      <c r="O71" s="29"/>
    </row>
    <row r="72" ht="15.75" customHeight="1">
      <c r="A72" s="34" t="s">
        <v>28</v>
      </c>
      <c r="B72" s="46">
        <f t="shared" ref="B72:L72" si="13">SUM(B70:B71)</f>
        <v>57</v>
      </c>
      <c r="C72" s="46">
        <f t="shared" si="13"/>
        <v>78</v>
      </c>
      <c r="D72" s="46">
        <f t="shared" si="13"/>
        <v>0</v>
      </c>
      <c r="E72" s="46">
        <f t="shared" si="13"/>
        <v>11</v>
      </c>
      <c r="F72" s="46">
        <f t="shared" si="13"/>
        <v>12.3</v>
      </c>
      <c r="G72" s="46">
        <f t="shared" si="13"/>
        <v>25</v>
      </c>
      <c r="H72" s="46">
        <f t="shared" si="13"/>
        <v>38</v>
      </c>
      <c r="I72" s="46">
        <f t="shared" si="13"/>
        <v>35</v>
      </c>
      <c r="J72" s="46">
        <f t="shared" si="13"/>
        <v>61</v>
      </c>
      <c r="K72" s="47">
        <f t="shared" si="13"/>
        <v>19</v>
      </c>
      <c r="L72" s="47">
        <f t="shared" si="13"/>
        <v>80</v>
      </c>
      <c r="M72" s="48"/>
      <c r="N72" s="49">
        <f t="shared" si="1"/>
        <v>416.3</v>
      </c>
      <c r="O72" s="4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50"/>
      <c r="L73" s="50"/>
      <c r="M73" s="42"/>
      <c r="N73" s="29">
        <f t="shared" si="1"/>
        <v>0</v>
      </c>
      <c r="O73" s="29"/>
    </row>
    <row r="74" ht="15.75" customHeight="1">
      <c r="A74" s="71" t="s">
        <v>34</v>
      </c>
      <c r="B74" s="29"/>
      <c r="C74" s="29"/>
      <c r="D74" s="29"/>
      <c r="E74" s="29"/>
      <c r="F74" s="29"/>
      <c r="G74" s="29"/>
      <c r="H74" s="29"/>
      <c r="I74" s="29"/>
      <c r="J74" s="29"/>
      <c r="K74" s="50"/>
      <c r="L74" s="50"/>
      <c r="M74" s="42"/>
      <c r="N74" s="29">
        <f t="shared" si="1"/>
        <v>0</v>
      </c>
      <c r="O74" s="29"/>
    </row>
    <row r="75" ht="15.75" customHeight="1">
      <c r="A75" s="30" t="s">
        <v>14</v>
      </c>
      <c r="B75" s="30" t="s">
        <v>29</v>
      </c>
      <c r="C75" s="30" t="s">
        <v>30</v>
      </c>
      <c r="D75" s="30" t="s">
        <v>17</v>
      </c>
      <c r="E75" s="30" t="s">
        <v>31</v>
      </c>
      <c r="F75" s="30" t="s">
        <v>19</v>
      </c>
      <c r="G75" s="30" t="s">
        <v>20</v>
      </c>
      <c r="H75" s="30" t="s">
        <v>21</v>
      </c>
      <c r="I75" s="30" t="s">
        <v>22</v>
      </c>
      <c r="J75" s="30" t="s">
        <v>23</v>
      </c>
      <c r="K75" s="44" t="s">
        <v>24</v>
      </c>
      <c r="L75" s="44" t="s">
        <v>25</v>
      </c>
      <c r="M75" s="42"/>
      <c r="N75" s="29">
        <f t="shared" si="1"/>
        <v>0</v>
      </c>
      <c r="O75" s="29"/>
    </row>
    <row r="76" ht="15.75" customHeight="1">
      <c r="A76" s="31" t="s">
        <v>26</v>
      </c>
      <c r="B76" s="32">
        <v>41.0</v>
      </c>
      <c r="C76" s="33">
        <v>45.0</v>
      </c>
      <c r="D76" s="33">
        <v>0.0</v>
      </c>
      <c r="E76" s="32">
        <v>9.4</v>
      </c>
      <c r="F76" s="32">
        <v>18.3</v>
      </c>
      <c r="G76" s="33">
        <v>20.0</v>
      </c>
      <c r="H76" s="33">
        <v>19.0</v>
      </c>
      <c r="I76" s="32">
        <v>26.4</v>
      </c>
      <c r="J76" s="32">
        <v>18.8</v>
      </c>
      <c r="K76" s="45">
        <v>19.0</v>
      </c>
      <c r="L76" s="45">
        <v>89.0</v>
      </c>
      <c r="M76" s="42"/>
      <c r="N76" s="29">
        <f t="shared" si="1"/>
        <v>305.9</v>
      </c>
      <c r="O76" s="29"/>
    </row>
    <row r="77" ht="15.75" customHeight="1">
      <c r="A77" s="31" t="s">
        <v>27</v>
      </c>
      <c r="B77" s="32">
        <v>16.0</v>
      </c>
      <c r="C77" s="33">
        <v>35.0</v>
      </c>
      <c r="D77" s="33">
        <v>0.0</v>
      </c>
      <c r="E77" s="33">
        <v>0.0</v>
      </c>
      <c r="F77" s="33">
        <v>0.0</v>
      </c>
      <c r="G77" s="33">
        <v>10.0</v>
      </c>
      <c r="H77" s="33">
        <v>8.0</v>
      </c>
      <c r="I77" s="33">
        <v>0.0</v>
      </c>
      <c r="J77" s="33">
        <v>0.0</v>
      </c>
      <c r="K77" s="45">
        <v>2.0</v>
      </c>
      <c r="L77" s="45">
        <v>0.0</v>
      </c>
      <c r="M77" s="42"/>
      <c r="N77" s="29">
        <f t="shared" si="1"/>
        <v>71</v>
      </c>
      <c r="O77" s="29"/>
    </row>
    <row r="78" ht="15.75" customHeight="1">
      <c r="A78" s="34" t="s">
        <v>28</v>
      </c>
      <c r="B78" s="46">
        <f t="shared" ref="B78:L78" si="14">SUM(B76:B77)</f>
        <v>57</v>
      </c>
      <c r="C78" s="46">
        <f t="shared" si="14"/>
        <v>80</v>
      </c>
      <c r="D78" s="46">
        <f t="shared" si="14"/>
        <v>0</v>
      </c>
      <c r="E78" s="46">
        <f t="shared" si="14"/>
        <v>9.4</v>
      </c>
      <c r="F78" s="46">
        <f t="shared" si="14"/>
        <v>18.3</v>
      </c>
      <c r="G78" s="46">
        <f t="shared" si="14"/>
        <v>30</v>
      </c>
      <c r="H78" s="46">
        <f t="shared" si="14"/>
        <v>27</v>
      </c>
      <c r="I78" s="46">
        <f t="shared" si="14"/>
        <v>26.4</v>
      </c>
      <c r="J78" s="46">
        <f t="shared" si="14"/>
        <v>18.8</v>
      </c>
      <c r="K78" s="47">
        <f t="shared" si="14"/>
        <v>21</v>
      </c>
      <c r="L78" s="47">
        <f t="shared" si="14"/>
        <v>89</v>
      </c>
      <c r="M78" s="48"/>
      <c r="N78" s="49">
        <f t="shared" si="1"/>
        <v>376.9</v>
      </c>
      <c r="O78" s="4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50"/>
      <c r="L79" s="50"/>
      <c r="M79" s="42"/>
      <c r="N79" s="29">
        <f t="shared" si="1"/>
        <v>0</v>
      </c>
      <c r="O79" s="29"/>
    </row>
    <row r="80" ht="15.75" customHeight="1">
      <c r="A80" s="71" t="s">
        <v>35</v>
      </c>
      <c r="B80" s="29"/>
      <c r="C80" s="29"/>
      <c r="D80" s="29"/>
      <c r="E80" s="29"/>
      <c r="F80" s="29"/>
      <c r="G80" s="29"/>
      <c r="H80" s="29"/>
      <c r="I80" s="29"/>
      <c r="J80" s="29"/>
      <c r="K80" s="50"/>
      <c r="L80" s="50"/>
      <c r="M80" s="42"/>
      <c r="N80" s="29">
        <f t="shared" si="1"/>
        <v>0</v>
      </c>
      <c r="O80" s="29"/>
    </row>
    <row r="81" ht="15.75" customHeight="1">
      <c r="A81" s="30" t="s">
        <v>14</v>
      </c>
      <c r="B81" s="30" t="s">
        <v>29</v>
      </c>
      <c r="C81" s="30" t="s">
        <v>30</v>
      </c>
      <c r="D81" s="30" t="s">
        <v>17</v>
      </c>
      <c r="E81" s="30" t="s">
        <v>31</v>
      </c>
      <c r="F81" s="30" t="s">
        <v>19</v>
      </c>
      <c r="G81" s="30" t="s">
        <v>20</v>
      </c>
      <c r="H81" s="30" t="s">
        <v>21</v>
      </c>
      <c r="I81" s="30" t="s">
        <v>22</v>
      </c>
      <c r="J81" s="30" t="s">
        <v>23</v>
      </c>
      <c r="K81" s="44" t="s">
        <v>24</v>
      </c>
      <c r="L81" s="44" t="s">
        <v>25</v>
      </c>
      <c r="M81" s="42"/>
      <c r="N81" s="29">
        <f t="shared" si="1"/>
        <v>0</v>
      </c>
      <c r="O81" s="29"/>
    </row>
    <row r="82" ht="15.75" customHeight="1">
      <c r="A82" s="31" t="s">
        <v>26</v>
      </c>
      <c r="B82" s="32">
        <v>32.0</v>
      </c>
      <c r="C82" s="57">
        <v>21.4</v>
      </c>
      <c r="D82" s="32">
        <v>45.0</v>
      </c>
      <c r="E82" s="32">
        <v>18.3</v>
      </c>
      <c r="F82" s="32">
        <v>14.5</v>
      </c>
      <c r="G82" s="33">
        <v>20.0</v>
      </c>
      <c r="H82" s="33">
        <v>25.0</v>
      </c>
      <c r="I82" s="32">
        <v>21.3</v>
      </c>
      <c r="J82" s="32">
        <v>27.2</v>
      </c>
      <c r="K82" s="45">
        <v>17.0</v>
      </c>
      <c r="L82" s="45">
        <v>87.0</v>
      </c>
      <c r="M82" s="42"/>
      <c r="N82" s="29">
        <f t="shared" si="1"/>
        <v>328.7</v>
      </c>
      <c r="O82" s="29"/>
    </row>
    <row r="83" ht="15.75" customHeight="1">
      <c r="A83" s="31" t="s">
        <v>27</v>
      </c>
      <c r="B83" s="32">
        <v>10.0</v>
      </c>
      <c r="C83" s="32">
        <v>8.1</v>
      </c>
      <c r="D83" s="32">
        <v>20.0</v>
      </c>
      <c r="E83" s="33">
        <v>0.0</v>
      </c>
      <c r="F83" s="33">
        <v>0.0</v>
      </c>
      <c r="G83" s="33">
        <v>25.0</v>
      </c>
      <c r="H83" s="33">
        <v>10.0</v>
      </c>
      <c r="I83" s="33">
        <v>0.0</v>
      </c>
      <c r="J83" s="33">
        <v>0.0</v>
      </c>
      <c r="K83" s="45">
        <v>2.0</v>
      </c>
      <c r="L83" s="45">
        <v>0.0</v>
      </c>
      <c r="M83" s="42"/>
      <c r="N83" s="29">
        <f t="shared" si="1"/>
        <v>75.1</v>
      </c>
      <c r="O83" s="29"/>
    </row>
    <row r="84" ht="15.75" customHeight="1">
      <c r="A84" s="34" t="s">
        <v>28</v>
      </c>
      <c r="B84" s="34">
        <v>42.0</v>
      </c>
      <c r="C84" s="34">
        <v>29.5</v>
      </c>
      <c r="D84" s="34">
        <v>65.0</v>
      </c>
      <c r="E84" s="34">
        <v>0.0</v>
      </c>
      <c r="F84" s="34">
        <v>0.0</v>
      </c>
      <c r="G84" s="34">
        <v>0.0</v>
      </c>
      <c r="H84" s="34">
        <v>0.0</v>
      </c>
      <c r="I84" s="34">
        <v>0.0</v>
      </c>
      <c r="J84" s="34">
        <v>0.0</v>
      </c>
      <c r="K84" s="47">
        <f t="shared" ref="K84:L84" si="15">SUM(K82:K83)</f>
        <v>19</v>
      </c>
      <c r="L84" s="47">
        <f t="shared" si="15"/>
        <v>87</v>
      </c>
      <c r="M84" s="48"/>
      <c r="N84" s="49">
        <f t="shared" si="1"/>
        <v>242.5</v>
      </c>
      <c r="O84" s="4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50"/>
      <c r="L85" s="50"/>
      <c r="M85" s="42"/>
      <c r="N85" s="29">
        <f t="shared" si="1"/>
        <v>0</v>
      </c>
      <c r="O85" s="29"/>
    </row>
    <row r="86" ht="15.75" customHeight="1">
      <c r="A86" s="71" t="s">
        <v>36</v>
      </c>
      <c r="B86" s="29"/>
      <c r="C86" s="29"/>
      <c r="D86" s="29"/>
      <c r="E86" s="29"/>
      <c r="F86" s="29"/>
      <c r="G86" s="29"/>
      <c r="H86" s="29"/>
      <c r="I86" s="29"/>
      <c r="J86" s="29"/>
      <c r="K86" s="50"/>
      <c r="L86" s="50"/>
      <c r="M86" s="42"/>
      <c r="N86" s="29">
        <f t="shared" si="1"/>
        <v>0</v>
      </c>
      <c r="O86" s="29"/>
    </row>
    <row r="87" ht="15.75" customHeight="1">
      <c r="A87" s="30" t="s">
        <v>14</v>
      </c>
      <c r="B87" s="30" t="s">
        <v>29</v>
      </c>
      <c r="C87" s="30" t="s">
        <v>30</v>
      </c>
      <c r="D87" s="30" t="s">
        <v>17</v>
      </c>
      <c r="E87" s="30" t="s">
        <v>31</v>
      </c>
      <c r="F87" s="30" t="s">
        <v>19</v>
      </c>
      <c r="G87" s="30" t="s">
        <v>20</v>
      </c>
      <c r="H87" s="30" t="s">
        <v>21</v>
      </c>
      <c r="I87" s="30" t="s">
        <v>22</v>
      </c>
      <c r="J87" s="30" t="s">
        <v>23</v>
      </c>
      <c r="K87" s="44" t="s">
        <v>24</v>
      </c>
      <c r="L87" s="44" t="s">
        <v>25</v>
      </c>
      <c r="M87" s="42"/>
      <c r="N87" s="29">
        <f t="shared" si="1"/>
        <v>0</v>
      </c>
      <c r="O87" s="29"/>
    </row>
    <row r="88" ht="15.75" customHeight="1">
      <c r="A88" s="31" t="s">
        <v>26</v>
      </c>
      <c r="B88" s="32">
        <v>82.0</v>
      </c>
      <c r="C88" s="32">
        <v>23.2</v>
      </c>
      <c r="D88" s="33">
        <v>0.0</v>
      </c>
      <c r="E88" s="32">
        <v>18.3</v>
      </c>
      <c r="F88" s="32">
        <v>14.5</v>
      </c>
      <c r="G88" s="33">
        <v>18.0</v>
      </c>
      <c r="H88" s="33">
        <v>19.0</v>
      </c>
      <c r="I88" s="32">
        <v>21.3</v>
      </c>
      <c r="J88" s="32">
        <v>27.2</v>
      </c>
      <c r="K88" s="45">
        <v>19.0</v>
      </c>
      <c r="L88" s="45">
        <v>88.0</v>
      </c>
      <c r="M88" s="42"/>
      <c r="N88" s="29">
        <f t="shared" si="1"/>
        <v>330.5</v>
      </c>
      <c r="O88" s="29"/>
    </row>
    <row r="89" ht="15.75" customHeight="1">
      <c r="A89" s="31" t="s">
        <v>27</v>
      </c>
      <c r="B89" s="32">
        <v>40.0</v>
      </c>
      <c r="C89" s="32">
        <v>12.4</v>
      </c>
      <c r="D89" s="33">
        <v>0.0</v>
      </c>
      <c r="E89" s="33">
        <v>0.0</v>
      </c>
      <c r="F89" s="33">
        <v>0.0</v>
      </c>
      <c r="G89" s="33">
        <v>12.0</v>
      </c>
      <c r="H89" s="33">
        <v>12.0</v>
      </c>
      <c r="I89" s="33">
        <v>0.0</v>
      </c>
      <c r="J89" s="33">
        <v>0.0</v>
      </c>
      <c r="K89" s="45">
        <v>1.0</v>
      </c>
      <c r="L89" s="45">
        <v>0.0</v>
      </c>
      <c r="M89" s="42"/>
      <c r="N89" s="29">
        <f t="shared" si="1"/>
        <v>77.4</v>
      </c>
      <c r="O89" s="29"/>
    </row>
    <row r="90" ht="15.75" customHeight="1">
      <c r="A90" s="34" t="s">
        <v>28</v>
      </c>
      <c r="B90" s="46">
        <f t="shared" ref="B90:L90" si="16">SUM(B88:B89)</f>
        <v>122</v>
      </c>
      <c r="C90" s="46">
        <f t="shared" si="16"/>
        <v>35.6</v>
      </c>
      <c r="D90" s="46">
        <f t="shared" si="16"/>
        <v>0</v>
      </c>
      <c r="E90" s="46">
        <f t="shared" si="16"/>
        <v>18.3</v>
      </c>
      <c r="F90" s="46">
        <f t="shared" si="16"/>
        <v>14.5</v>
      </c>
      <c r="G90" s="46">
        <f t="shared" si="16"/>
        <v>30</v>
      </c>
      <c r="H90" s="46">
        <f t="shared" si="16"/>
        <v>31</v>
      </c>
      <c r="I90" s="46">
        <f t="shared" si="16"/>
        <v>21.3</v>
      </c>
      <c r="J90" s="46">
        <f t="shared" si="16"/>
        <v>27.2</v>
      </c>
      <c r="K90" s="47">
        <f t="shared" si="16"/>
        <v>20</v>
      </c>
      <c r="L90" s="47">
        <f t="shared" si="16"/>
        <v>88</v>
      </c>
      <c r="M90" s="48"/>
      <c r="N90" s="49">
        <f t="shared" si="1"/>
        <v>407.9</v>
      </c>
      <c r="O90" s="4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50"/>
      <c r="L91" s="50"/>
      <c r="M91" s="42"/>
      <c r="N91" s="29">
        <f t="shared" si="1"/>
        <v>0</v>
      </c>
      <c r="O91" s="29"/>
    </row>
    <row r="92" ht="15.75" customHeight="1">
      <c r="A92" s="71" t="s">
        <v>37</v>
      </c>
      <c r="B92" s="29"/>
      <c r="C92" s="29"/>
      <c r="D92" s="29"/>
      <c r="E92" s="29"/>
      <c r="F92" s="29"/>
      <c r="G92" s="29"/>
      <c r="H92" s="29"/>
      <c r="I92" s="29"/>
      <c r="J92" s="29"/>
      <c r="K92" s="50"/>
      <c r="L92" s="50"/>
      <c r="M92" s="42"/>
      <c r="N92" s="29">
        <f t="shared" si="1"/>
        <v>0</v>
      </c>
      <c r="O92" s="29"/>
    </row>
    <row r="93" ht="15.75" customHeight="1">
      <c r="A93" s="30" t="s">
        <v>14</v>
      </c>
      <c r="B93" s="30" t="s">
        <v>29</v>
      </c>
      <c r="C93" s="30" t="s">
        <v>30</v>
      </c>
      <c r="D93" s="30" t="s">
        <v>17</v>
      </c>
      <c r="E93" s="30" t="s">
        <v>31</v>
      </c>
      <c r="F93" s="30" t="s">
        <v>19</v>
      </c>
      <c r="G93" s="30" t="s">
        <v>20</v>
      </c>
      <c r="H93" s="30" t="s">
        <v>21</v>
      </c>
      <c r="I93" s="30" t="s">
        <v>22</v>
      </c>
      <c r="J93" s="30" t="s">
        <v>23</v>
      </c>
      <c r="K93" s="44" t="s">
        <v>24</v>
      </c>
      <c r="L93" s="44" t="s">
        <v>25</v>
      </c>
      <c r="M93" s="42"/>
      <c r="N93" s="29">
        <f t="shared" si="1"/>
        <v>0</v>
      </c>
      <c r="O93" s="29"/>
    </row>
    <row r="94" ht="15.75" customHeight="1">
      <c r="A94" s="31" t="s">
        <v>26</v>
      </c>
      <c r="B94" s="36">
        <v>82.0</v>
      </c>
      <c r="C94" s="32">
        <v>29.1</v>
      </c>
      <c r="D94" s="33">
        <v>0.0</v>
      </c>
      <c r="E94" s="32">
        <v>18.5</v>
      </c>
      <c r="F94" s="32">
        <v>11.9</v>
      </c>
      <c r="G94" s="33">
        <v>16.0</v>
      </c>
      <c r="H94" s="33">
        <v>17.0</v>
      </c>
      <c r="I94" s="32">
        <v>10.3</v>
      </c>
      <c r="J94" s="32">
        <v>22.3</v>
      </c>
      <c r="K94" s="45">
        <v>19.0</v>
      </c>
      <c r="L94" s="45">
        <v>70.0</v>
      </c>
      <c r="M94" s="42"/>
      <c r="N94" s="29">
        <f t="shared" si="1"/>
        <v>296.1</v>
      </c>
      <c r="O94" s="29"/>
    </row>
    <row r="95" ht="15.75" customHeight="1">
      <c r="A95" s="31" t="s">
        <v>27</v>
      </c>
      <c r="B95" s="36">
        <v>31.0</v>
      </c>
      <c r="C95" s="32">
        <v>18.1</v>
      </c>
      <c r="D95" s="33">
        <v>0.0</v>
      </c>
      <c r="E95" s="33">
        <v>0.0</v>
      </c>
      <c r="F95" s="33">
        <v>0.0</v>
      </c>
      <c r="G95" s="33">
        <v>10.0</v>
      </c>
      <c r="H95" s="33">
        <v>10.0</v>
      </c>
      <c r="I95" s="33">
        <v>0.0</v>
      </c>
      <c r="J95" s="33">
        <v>0.0</v>
      </c>
      <c r="K95" s="45">
        <v>1.0</v>
      </c>
      <c r="L95" s="45">
        <v>1.0</v>
      </c>
      <c r="M95" s="42"/>
      <c r="N95" s="29">
        <f t="shared" si="1"/>
        <v>71.1</v>
      </c>
      <c r="O95" s="29"/>
    </row>
    <row r="96" ht="15.75" customHeight="1">
      <c r="A96" s="34" t="s">
        <v>28</v>
      </c>
      <c r="B96" s="46">
        <f t="shared" ref="B96:L96" si="17">SUM(B94:B95)</f>
        <v>113</v>
      </c>
      <c r="C96" s="46">
        <f t="shared" si="17"/>
        <v>47.2</v>
      </c>
      <c r="D96" s="46">
        <f t="shared" si="17"/>
        <v>0</v>
      </c>
      <c r="E96" s="46">
        <f t="shared" si="17"/>
        <v>18.5</v>
      </c>
      <c r="F96" s="46">
        <f t="shared" si="17"/>
        <v>11.9</v>
      </c>
      <c r="G96" s="46">
        <f t="shared" si="17"/>
        <v>26</v>
      </c>
      <c r="H96" s="46">
        <f t="shared" si="17"/>
        <v>27</v>
      </c>
      <c r="I96" s="46">
        <f t="shared" si="17"/>
        <v>10.3</v>
      </c>
      <c r="J96" s="46">
        <f t="shared" si="17"/>
        <v>22.3</v>
      </c>
      <c r="K96" s="47">
        <f t="shared" si="17"/>
        <v>20</v>
      </c>
      <c r="L96" s="47">
        <f t="shared" si="17"/>
        <v>71</v>
      </c>
      <c r="M96" s="48"/>
      <c r="N96" s="49">
        <f t="shared" si="1"/>
        <v>367.2</v>
      </c>
      <c r="O96" s="4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59"/>
      <c r="L97" s="59"/>
      <c r="M97" s="42"/>
      <c r="N97" s="29">
        <f t="shared" si="1"/>
        <v>0</v>
      </c>
      <c r="O97" s="29"/>
    </row>
    <row r="98" ht="15.75" customHeight="1">
      <c r="A98" s="71" t="s">
        <v>38</v>
      </c>
      <c r="B98" s="29"/>
      <c r="C98" s="29"/>
      <c r="D98" s="29"/>
      <c r="E98" s="29"/>
      <c r="F98" s="29"/>
      <c r="G98" s="29"/>
      <c r="H98" s="29"/>
      <c r="I98" s="29"/>
      <c r="J98" s="29"/>
      <c r="K98" s="50"/>
      <c r="L98" s="50"/>
      <c r="M98" s="42"/>
      <c r="N98" s="29">
        <f t="shared" si="1"/>
        <v>0</v>
      </c>
      <c r="O98" s="29"/>
    </row>
    <row r="99" ht="15.75" customHeight="1">
      <c r="A99" s="30" t="s">
        <v>14</v>
      </c>
      <c r="B99" s="30" t="s">
        <v>29</v>
      </c>
      <c r="C99" s="30" t="s">
        <v>30</v>
      </c>
      <c r="D99" s="30" t="s">
        <v>17</v>
      </c>
      <c r="E99" s="30" t="s">
        <v>31</v>
      </c>
      <c r="F99" s="30" t="s">
        <v>19</v>
      </c>
      <c r="G99" s="30" t="s">
        <v>20</v>
      </c>
      <c r="H99" s="30" t="s">
        <v>21</v>
      </c>
      <c r="I99" s="30" t="s">
        <v>22</v>
      </c>
      <c r="J99" s="30" t="s">
        <v>23</v>
      </c>
      <c r="K99" s="44" t="s">
        <v>24</v>
      </c>
      <c r="L99" s="44" t="s">
        <v>25</v>
      </c>
      <c r="M99" s="42"/>
      <c r="N99" s="29">
        <f t="shared" si="1"/>
        <v>0</v>
      </c>
      <c r="O99" s="29"/>
    </row>
    <row r="100" ht="15.75" customHeight="1">
      <c r="A100" s="31" t="s">
        <v>26</v>
      </c>
      <c r="B100" s="32">
        <v>96.0</v>
      </c>
      <c r="C100" s="32">
        <v>23.3</v>
      </c>
      <c r="D100" s="33">
        <v>0.0</v>
      </c>
      <c r="E100" s="32">
        <v>18.3</v>
      </c>
      <c r="F100" s="32">
        <v>14.5</v>
      </c>
      <c r="G100" s="33">
        <v>19.0</v>
      </c>
      <c r="H100" s="33">
        <v>25.0</v>
      </c>
      <c r="I100" s="32">
        <v>21.3</v>
      </c>
      <c r="J100" s="32">
        <v>27.2</v>
      </c>
      <c r="K100" s="45">
        <v>20.0</v>
      </c>
      <c r="L100" s="45">
        <v>86.0</v>
      </c>
      <c r="M100" s="42"/>
      <c r="N100" s="29">
        <f t="shared" si="1"/>
        <v>350.6</v>
      </c>
      <c r="O100" s="29"/>
    </row>
    <row r="101" ht="15.75" customHeight="1">
      <c r="A101" s="31" t="s">
        <v>27</v>
      </c>
      <c r="B101" s="32">
        <v>44.0</v>
      </c>
      <c r="C101" s="32">
        <v>16.1</v>
      </c>
      <c r="D101" s="33">
        <v>0.0</v>
      </c>
      <c r="E101" s="33">
        <v>0.0</v>
      </c>
      <c r="F101" s="33">
        <v>0.0</v>
      </c>
      <c r="G101" s="33">
        <v>20.0</v>
      </c>
      <c r="H101" s="33">
        <v>26.0</v>
      </c>
      <c r="I101" s="33">
        <v>0.0</v>
      </c>
      <c r="J101" s="33">
        <v>0.0</v>
      </c>
      <c r="K101" s="45">
        <v>1.0</v>
      </c>
      <c r="L101" s="45">
        <v>0.0</v>
      </c>
      <c r="M101" s="42"/>
      <c r="N101" s="29">
        <f t="shared" si="1"/>
        <v>107.1</v>
      </c>
      <c r="O101" s="29"/>
    </row>
    <row r="102" ht="15.75" customHeight="1">
      <c r="A102" s="34" t="s">
        <v>28</v>
      </c>
      <c r="B102" s="46">
        <f t="shared" ref="B102:L102" si="18">SUM(B100:B101)</f>
        <v>140</v>
      </c>
      <c r="C102" s="46">
        <f t="shared" si="18"/>
        <v>39.4</v>
      </c>
      <c r="D102" s="46">
        <f t="shared" si="18"/>
        <v>0</v>
      </c>
      <c r="E102" s="46">
        <f t="shared" si="18"/>
        <v>18.3</v>
      </c>
      <c r="F102" s="46">
        <f t="shared" si="18"/>
        <v>14.5</v>
      </c>
      <c r="G102" s="46">
        <f t="shared" si="18"/>
        <v>39</v>
      </c>
      <c r="H102" s="46">
        <f t="shared" si="18"/>
        <v>51</v>
      </c>
      <c r="I102" s="46">
        <f t="shared" si="18"/>
        <v>21.3</v>
      </c>
      <c r="J102" s="46">
        <f t="shared" si="18"/>
        <v>27.2</v>
      </c>
      <c r="K102" s="47">
        <f t="shared" si="18"/>
        <v>21</v>
      </c>
      <c r="L102" s="47">
        <f t="shared" si="18"/>
        <v>86</v>
      </c>
      <c r="M102" s="48"/>
      <c r="N102" s="49">
        <f t="shared" si="1"/>
        <v>457.7</v>
      </c>
      <c r="O102" s="4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50"/>
      <c r="L103" s="50"/>
      <c r="M103" s="42"/>
      <c r="N103" s="29">
        <f t="shared" si="1"/>
        <v>0</v>
      </c>
      <c r="O103" s="29"/>
    </row>
    <row r="104" ht="15.75" customHeight="1">
      <c r="A104" s="71" t="s">
        <v>39</v>
      </c>
      <c r="B104" s="29"/>
      <c r="C104" s="29"/>
      <c r="D104" s="29"/>
      <c r="E104" s="29"/>
      <c r="F104" s="29"/>
      <c r="G104" s="29"/>
      <c r="H104" s="29"/>
      <c r="I104" s="29"/>
      <c r="J104" s="29"/>
      <c r="K104" s="50"/>
      <c r="L104" s="50"/>
      <c r="M104" s="42"/>
      <c r="N104" s="29">
        <f t="shared" si="1"/>
        <v>0</v>
      </c>
      <c r="O104" s="29"/>
    </row>
    <row r="105" ht="15.75" customHeight="1">
      <c r="A105" s="30" t="s">
        <v>14</v>
      </c>
      <c r="B105" s="30" t="s">
        <v>29</v>
      </c>
      <c r="C105" s="30" t="s">
        <v>30</v>
      </c>
      <c r="D105" s="30" t="s">
        <v>17</v>
      </c>
      <c r="E105" s="30" t="s">
        <v>31</v>
      </c>
      <c r="F105" s="30" t="s">
        <v>19</v>
      </c>
      <c r="G105" s="30" t="s">
        <v>20</v>
      </c>
      <c r="H105" s="30" t="s">
        <v>21</v>
      </c>
      <c r="I105" s="30" t="s">
        <v>22</v>
      </c>
      <c r="J105" s="30" t="s">
        <v>23</v>
      </c>
      <c r="K105" s="44" t="s">
        <v>24</v>
      </c>
      <c r="L105" s="44" t="s">
        <v>25</v>
      </c>
      <c r="M105" s="42"/>
      <c r="N105" s="29">
        <f t="shared" si="1"/>
        <v>0</v>
      </c>
      <c r="O105" s="29"/>
    </row>
    <row r="106" ht="15.75" customHeight="1">
      <c r="A106" s="31" t="s">
        <v>26</v>
      </c>
      <c r="B106" s="32">
        <v>74.0</v>
      </c>
      <c r="C106" s="33">
        <v>30.5</v>
      </c>
      <c r="D106" s="32">
        <v>30.0</v>
      </c>
      <c r="E106" s="32">
        <v>24.9</v>
      </c>
      <c r="F106" s="32">
        <v>12.3</v>
      </c>
      <c r="G106" s="33">
        <v>17.0</v>
      </c>
      <c r="H106" s="33">
        <v>18.0</v>
      </c>
      <c r="I106" s="32">
        <v>18.0</v>
      </c>
      <c r="J106" s="32">
        <v>32.3</v>
      </c>
      <c r="K106" s="45">
        <v>25.0</v>
      </c>
      <c r="L106" s="45">
        <v>80.0</v>
      </c>
      <c r="M106" s="42"/>
      <c r="N106" s="29">
        <f t="shared" si="1"/>
        <v>362</v>
      </c>
      <c r="O106" s="29"/>
    </row>
    <row r="107" ht="15.75" customHeight="1">
      <c r="A107" s="31" t="s">
        <v>27</v>
      </c>
      <c r="B107" s="32">
        <v>42.0</v>
      </c>
      <c r="C107" s="33">
        <v>26.5</v>
      </c>
      <c r="D107" s="32">
        <v>15.0</v>
      </c>
      <c r="E107" s="33">
        <v>0.0</v>
      </c>
      <c r="F107" s="33">
        <v>0.0</v>
      </c>
      <c r="G107" s="33">
        <v>10.0</v>
      </c>
      <c r="H107" s="33">
        <v>10.0</v>
      </c>
      <c r="I107" s="33">
        <v>0.0</v>
      </c>
      <c r="J107" s="33">
        <v>0.0</v>
      </c>
      <c r="K107" s="45">
        <v>2.0</v>
      </c>
      <c r="L107" s="45">
        <v>0.0</v>
      </c>
      <c r="M107" s="42"/>
      <c r="N107" s="29">
        <f t="shared" si="1"/>
        <v>105.5</v>
      </c>
      <c r="O107" s="29"/>
    </row>
    <row r="108" ht="15.75" customHeight="1">
      <c r="A108" s="34" t="s">
        <v>28</v>
      </c>
      <c r="B108" s="46">
        <f t="shared" ref="B108:L108" si="19">SUM(B106:B107)</f>
        <v>116</v>
      </c>
      <c r="C108" s="46">
        <f t="shared" si="19"/>
        <v>57</v>
      </c>
      <c r="D108" s="46">
        <f t="shared" si="19"/>
        <v>45</v>
      </c>
      <c r="E108" s="46">
        <f t="shared" si="19"/>
        <v>24.9</v>
      </c>
      <c r="F108" s="46">
        <f t="shared" si="19"/>
        <v>12.3</v>
      </c>
      <c r="G108" s="46">
        <f t="shared" si="19"/>
        <v>27</v>
      </c>
      <c r="H108" s="46">
        <f t="shared" si="19"/>
        <v>28</v>
      </c>
      <c r="I108" s="46">
        <f t="shared" si="19"/>
        <v>18</v>
      </c>
      <c r="J108" s="46">
        <f t="shared" si="19"/>
        <v>32.3</v>
      </c>
      <c r="K108" s="47">
        <f t="shared" si="19"/>
        <v>27</v>
      </c>
      <c r="L108" s="47">
        <f t="shared" si="19"/>
        <v>80</v>
      </c>
      <c r="M108" s="48"/>
      <c r="N108" s="49">
        <f t="shared" si="1"/>
        <v>467.5</v>
      </c>
      <c r="O108" s="4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50"/>
      <c r="L109" s="50"/>
      <c r="M109" s="42"/>
      <c r="N109" s="29">
        <f t="shared" si="1"/>
        <v>0</v>
      </c>
      <c r="O109" s="29"/>
    </row>
    <row r="110" ht="15.75" customHeight="1">
      <c r="A110" s="71" t="s">
        <v>40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50"/>
      <c r="L110" s="50"/>
      <c r="M110" s="42"/>
      <c r="N110" s="29">
        <f t="shared" si="1"/>
        <v>0</v>
      </c>
      <c r="O110" s="29"/>
    </row>
    <row r="111" ht="15.75" customHeight="1">
      <c r="A111" s="30" t="s">
        <v>14</v>
      </c>
      <c r="B111" s="30" t="s">
        <v>29</v>
      </c>
      <c r="C111" s="30" t="s">
        <v>30</v>
      </c>
      <c r="D111" s="30" t="s">
        <v>17</v>
      </c>
      <c r="E111" s="30" t="s">
        <v>31</v>
      </c>
      <c r="F111" s="30" t="s">
        <v>19</v>
      </c>
      <c r="G111" s="30" t="s">
        <v>20</v>
      </c>
      <c r="H111" s="30" t="s">
        <v>21</v>
      </c>
      <c r="I111" s="30" t="s">
        <v>22</v>
      </c>
      <c r="J111" s="30" t="s">
        <v>23</v>
      </c>
      <c r="K111" s="44" t="s">
        <v>24</v>
      </c>
      <c r="L111" s="44" t="s">
        <v>25</v>
      </c>
      <c r="M111" s="42"/>
      <c r="N111" s="29">
        <f t="shared" si="1"/>
        <v>0</v>
      </c>
      <c r="O111" s="29"/>
    </row>
    <row r="112" ht="15.75" customHeight="1">
      <c r="A112" s="31" t="s">
        <v>26</v>
      </c>
      <c r="B112" s="32">
        <v>70.0</v>
      </c>
      <c r="C112" s="33">
        <v>26.5</v>
      </c>
      <c r="D112" s="33">
        <v>26.0</v>
      </c>
      <c r="E112" s="32">
        <v>11.2</v>
      </c>
      <c r="F112" s="32">
        <v>14.8</v>
      </c>
      <c r="G112" s="33">
        <v>18.9</v>
      </c>
      <c r="H112" s="33">
        <v>17.5</v>
      </c>
      <c r="I112" s="32">
        <v>10.4</v>
      </c>
      <c r="J112" s="32">
        <v>22.3</v>
      </c>
      <c r="K112" s="45">
        <v>26.0</v>
      </c>
      <c r="L112" s="45">
        <v>79.0</v>
      </c>
      <c r="M112" s="42"/>
      <c r="N112" s="29">
        <f t="shared" si="1"/>
        <v>322.6</v>
      </c>
      <c r="O112" s="29"/>
    </row>
    <row r="113" ht="15.75" customHeight="1">
      <c r="A113" s="31" t="s">
        <v>27</v>
      </c>
      <c r="B113" s="32">
        <v>30.0</v>
      </c>
      <c r="C113" s="33">
        <v>10.0</v>
      </c>
      <c r="D113" s="33">
        <v>29.0</v>
      </c>
      <c r="E113" s="33">
        <v>0.0</v>
      </c>
      <c r="F113" s="33">
        <v>0.0</v>
      </c>
      <c r="G113" s="33">
        <v>0.0</v>
      </c>
      <c r="H113" s="33">
        <v>0.0</v>
      </c>
      <c r="I113" s="33">
        <v>0.0</v>
      </c>
      <c r="J113" s="33">
        <v>0.0</v>
      </c>
      <c r="K113" s="45">
        <v>1.0</v>
      </c>
      <c r="L113" s="45">
        <v>0.0</v>
      </c>
      <c r="M113" s="42"/>
      <c r="N113" s="29">
        <f t="shared" si="1"/>
        <v>70</v>
      </c>
      <c r="O113" s="29"/>
    </row>
    <row r="114" ht="15.75" customHeight="1">
      <c r="A114" s="34" t="s">
        <v>28</v>
      </c>
      <c r="B114" s="46">
        <f t="shared" ref="B114:L114" si="20">SUM(B112:B113)</f>
        <v>100</v>
      </c>
      <c r="C114" s="46">
        <f t="shared" si="20"/>
        <v>36.5</v>
      </c>
      <c r="D114" s="46">
        <f t="shared" si="20"/>
        <v>55</v>
      </c>
      <c r="E114" s="46">
        <f t="shared" si="20"/>
        <v>11.2</v>
      </c>
      <c r="F114" s="46">
        <f t="shared" si="20"/>
        <v>14.8</v>
      </c>
      <c r="G114" s="46">
        <f t="shared" si="20"/>
        <v>18.9</v>
      </c>
      <c r="H114" s="46">
        <f t="shared" si="20"/>
        <v>17.5</v>
      </c>
      <c r="I114" s="46">
        <f t="shared" si="20"/>
        <v>10.4</v>
      </c>
      <c r="J114" s="46">
        <f t="shared" si="20"/>
        <v>22.3</v>
      </c>
      <c r="K114" s="47">
        <f t="shared" si="20"/>
        <v>27</v>
      </c>
      <c r="L114" s="47">
        <f t="shared" si="20"/>
        <v>79</v>
      </c>
      <c r="M114" s="48"/>
      <c r="N114" s="49">
        <f t="shared" si="1"/>
        <v>392.6</v>
      </c>
      <c r="O114" s="4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50"/>
      <c r="L115" s="50"/>
      <c r="M115" s="42"/>
      <c r="N115" s="29">
        <f t="shared" si="1"/>
        <v>0</v>
      </c>
      <c r="O115" s="29"/>
    </row>
    <row r="116" ht="15.75" customHeight="1">
      <c r="A116" s="71" t="s">
        <v>41</v>
      </c>
      <c r="B116" s="29"/>
      <c r="C116" s="29"/>
      <c r="D116" s="29"/>
      <c r="E116" s="29"/>
      <c r="F116" s="29"/>
      <c r="G116" s="29"/>
      <c r="H116" s="29"/>
      <c r="I116" s="29"/>
      <c r="J116" s="29"/>
      <c r="K116" s="50"/>
      <c r="L116" s="50"/>
      <c r="M116" s="42"/>
      <c r="N116" s="29">
        <f t="shared" si="1"/>
        <v>0</v>
      </c>
      <c r="O116" s="29"/>
    </row>
    <row r="117" ht="15.75" customHeight="1">
      <c r="A117" s="30" t="s">
        <v>14</v>
      </c>
      <c r="B117" s="30" t="s">
        <v>29</v>
      </c>
      <c r="C117" s="30" t="s">
        <v>30</v>
      </c>
      <c r="D117" s="30" t="s">
        <v>17</v>
      </c>
      <c r="E117" s="30" t="s">
        <v>31</v>
      </c>
      <c r="F117" s="30" t="s">
        <v>19</v>
      </c>
      <c r="G117" s="30" t="s">
        <v>20</v>
      </c>
      <c r="H117" s="30" t="s">
        <v>21</v>
      </c>
      <c r="I117" s="30" t="s">
        <v>22</v>
      </c>
      <c r="J117" s="30" t="s">
        <v>23</v>
      </c>
      <c r="K117" s="44" t="s">
        <v>24</v>
      </c>
      <c r="L117" s="44" t="s">
        <v>25</v>
      </c>
      <c r="M117" s="42"/>
      <c r="N117" s="29">
        <f t="shared" si="1"/>
        <v>0</v>
      </c>
      <c r="O117" s="29"/>
    </row>
    <row r="118" ht="15.75" customHeight="1">
      <c r="A118" s="31" t="s">
        <v>26</v>
      </c>
      <c r="B118" s="32">
        <v>35.0</v>
      </c>
      <c r="C118" s="33">
        <v>38.0</v>
      </c>
      <c r="D118" s="33">
        <v>0.0</v>
      </c>
      <c r="E118" s="33">
        <v>20.0</v>
      </c>
      <c r="F118" s="33">
        <v>20.0</v>
      </c>
      <c r="G118" s="33">
        <v>26.0</v>
      </c>
      <c r="H118" s="33">
        <v>20.0</v>
      </c>
      <c r="I118" s="33">
        <v>36.0</v>
      </c>
      <c r="J118" s="33">
        <v>14.0</v>
      </c>
      <c r="K118" s="45">
        <v>27.0</v>
      </c>
      <c r="L118" s="45">
        <v>80.0</v>
      </c>
      <c r="M118" s="42"/>
      <c r="N118" s="29">
        <f t="shared" si="1"/>
        <v>316</v>
      </c>
      <c r="O118" s="29"/>
    </row>
    <row r="119" ht="15.75" customHeight="1">
      <c r="A119" s="31" t="s">
        <v>27</v>
      </c>
      <c r="B119" s="32">
        <v>12.0</v>
      </c>
      <c r="C119" s="33">
        <v>24.0</v>
      </c>
      <c r="D119" s="33">
        <v>0.0</v>
      </c>
      <c r="E119" s="33">
        <v>8.0</v>
      </c>
      <c r="F119" s="33">
        <v>8.0</v>
      </c>
      <c r="G119" s="33">
        <v>8.0</v>
      </c>
      <c r="H119" s="33">
        <v>8.0</v>
      </c>
      <c r="I119" s="33">
        <v>8.0</v>
      </c>
      <c r="J119" s="33">
        <v>8.0</v>
      </c>
      <c r="K119" s="45">
        <v>1.0</v>
      </c>
      <c r="L119" s="45">
        <v>0.0</v>
      </c>
      <c r="M119" s="42"/>
      <c r="N119" s="29">
        <f t="shared" si="1"/>
        <v>85</v>
      </c>
      <c r="O119" s="29"/>
    </row>
    <row r="120" ht="15.75" customHeight="1">
      <c r="A120" s="34" t="s">
        <v>28</v>
      </c>
      <c r="B120" s="46">
        <f t="shared" ref="B120:L120" si="21">SUM(B118:B119)</f>
        <v>47</v>
      </c>
      <c r="C120" s="46">
        <f t="shared" si="21"/>
        <v>62</v>
      </c>
      <c r="D120" s="46">
        <f t="shared" si="21"/>
        <v>0</v>
      </c>
      <c r="E120" s="46">
        <f t="shared" si="21"/>
        <v>28</v>
      </c>
      <c r="F120" s="46">
        <f t="shared" si="21"/>
        <v>28</v>
      </c>
      <c r="G120" s="46">
        <f t="shared" si="21"/>
        <v>34</v>
      </c>
      <c r="H120" s="46">
        <f t="shared" si="21"/>
        <v>28</v>
      </c>
      <c r="I120" s="46">
        <f t="shared" si="21"/>
        <v>44</v>
      </c>
      <c r="J120" s="46">
        <f t="shared" si="21"/>
        <v>22</v>
      </c>
      <c r="K120" s="47">
        <f t="shared" si="21"/>
        <v>28</v>
      </c>
      <c r="L120" s="47">
        <f t="shared" si="21"/>
        <v>80</v>
      </c>
      <c r="M120" s="48"/>
      <c r="N120" s="49">
        <f t="shared" si="1"/>
        <v>401</v>
      </c>
      <c r="O120" s="49"/>
    </row>
    <row r="121" ht="15.75" customHeight="1">
      <c r="K121" s="50"/>
      <c r="L121" s="50"/>
      <c r="N121" s="29">
        <f t="shared" si="1"/>
        <v>0</v>
      </c>
      <c r="O121" s="29"/>
    </row>
    <row r="122" ht="15.75" customHeight="1">
      <c r="A122" s="72" t="s">
        <v>42</v>
      </c>
      <c r="B122" s="29"/>
      <c r="C122" s="29"/>
      <c r="D122" s="29"/>
      <c r="E122" s="29"/>
      <c r="F122" s="29"/>
      <c r="G122" s="29"/>
      <c r="H122" s="29"/>
      <c r="I122" s="29"/>
      <c r="J122" s="29"/>
      <c r="N122" s="29">
        <f t="shared" si="1"/>
        <v>0</v>
      </c>
      <c r="O122" s="29"/>
    </row>
    <row r="123" ht="15.75" customHeight="1">
      <c r="A123" s="30" t="s">
        <v>14</v>
      </c>
      <c r="B123" s="30" t="s">
        <v>29</v>
      </c>
      <c r="C123" s="30" t="s">
        <v>30</v>
      </c>
      <c r="D123" s="30" t="s">
        <v>17</v>
      </c>
      <c r="E123" s="30" t="s">
        <v>31</v>
      </c>
      <c r="F123" s="30" t="s">
        <v>19</v>
      </c>
      <c r="G123" s="30" t="s">
        <v>20</v>
      </c>
      <c r="H123" s="30" t="s">
        <v>21</v>
      </c>
      <c r="I123" s="30" t="s">
        <v>22</v>
      </c>
      <c r="J123" s="30" t="s">
        <v>23</v>
      </c>
      <c r="K123" s="44" t="s">
        <v>24</v>
      </c>
      <c r="L123" s="44" t="s">
        <v>25</v>
      </c>
      <c r="N123" s="29">
        <f t="shared" si="1"/>
        <v>0</v>
      </c>
      <c r="O123" s="29"/>
    </row>
    <row r="124" ht="15.75" customHeight="1">
      <c r="A124" s="31" t="s">
        <v>26</v>
      </c>
      <c r="B124" s="33">
        <v>98.0</v>
      </c>
      <c r="C124" s="33">
        <v>21.1</v>
      </c>
      <c r="D124" s="33">
        <v>0.0</v>
      </c>
      <c r="E124" s="32">
        <v>11.2</v>
      </c>
      <c r="F124" s="32">
        <v>14.8</v>
      </c>
      <c r="G124" s="33">
        <v>18.9</v>
      </c>
      <c r="H124" s="33">
        <v>17.5</v>
      </c>
      <c r="I124" s="32">
        <v>10.4</v>
      </c>
      <c r="J124" s="32">
        <v>22.3</v>
      </c>
      <c r="K124" s="45">
        <v>29.0</v>
      </c>
      <c r="L124" s="45">
        <v>89.0</v>
      </c>
      <c r="N124" s="29">
        <f t="shared" si="1"/>
        <v>332.2</v>
      </c>
      <c r="O124" s="29"/>
    </row>
    <row r="125" ht="15.75" customHeight="1">
      <c r="A125" s="31" t="s">
        <v>27</v>
      </c>
      <c r="B125" s="33">
        <v>42.0</v>
      </c>
      <c r="C125" s="33">
        <v>14.2</v>
      </c>
      <c r="D125" s="33">
        <v>0.0</v>
      </c>
      <c r="E125" s="33">
        <v>0.0</v>
      </c>
      <c r="F125" s="33">
        <v>0.0</v>
      </c>
      <c r="G125" s="33">
        <v>0.0</v>
      </c>
      <c r="H125" s="33">
        <v>0.0</v>
      </c>
      <c r="I125" s="33">
        <v>0.0</v>
      </c>
      <c r="J125" s="33">
        <v>0.0</v>
      </c>
      <c r="K125" s="45">
        <v>1.0</v>
      </c>
      <c r="L125" s="45">
        <v>0.0</v>
      </c>
      <c r="N125" s="29">
        <f t="shared" si="1"/>
        <v>57.2</v>
      </c>
      <c r="O125" s="29"/>
    </row>
    <row r="126" ht="15.75" customHeight="1">
      <c r="A126" s="34" t="s">
        <v>28</v>
      </c>
      <c r="B126" s="46">
        <f t="shared" ref="B126:C126" si="22">SUM(B124:B125)</f>
        <v>140</v>
      </c>
      <c r="C126" s="46">
        <f t="shared" si="22"/>
        <v>35.3</v>
      </c>
      <c r="D126" s="34">
        <v>0.0</v>
      </c>
      <c r="E126" s="34">
        <v>0.0</v>
      </c>
      <c r="F126" s="34">
        <v>0.0</v>
      </c>
      <c r="G126" s="34">
        <v>0.0</v>
      </c>
      <c r="H126" s="34">
        <v>0.0</v>
      </c>
      <c r="I126" s="34">
        <v>0.0</v>
      </c>
      <c r="J126" s="34">
        <v>0.0</v>
      </c>
      <c r="K126" s="47">
        <f t="shared" ref="K126:L126" si="23">SUM(K124:K125)</f>
        <v>30</v>
      </c>
      <c r="L126" s="47">
        <f t="shared" si="23"/>
        <v>89</v>
      </c>
      <c r="M126" s="20"/>
      <c r="N126" s="49">
        <f t="shared" si="1"/>
        <v>294.3</v>
      </c>
      <c r="O126" s="49"/>
    </row>
    <row r="127" ht="15.75" customHeight="1">
      <c r="K127" s="50"/>
      <c r="L127" s="50"/>
      <c r="N127" s="29">
        <f t="shared" si="1"/>
        <v>0</v>
      </c>
      <c r="O127" s="29"/>
    </row>
    <row r="128" ht="15.75" customHeight="1">
      <c r="A128" s="72" t="s">
        <v>43</v>
      </c>
      <c r="B128" s="29"/>
      <c r="C128" s="29"/>
      <c r="D128" s="29"/>
      <c r="E128" s="29"/>
      <c r="F128" s="29"/>
      <c r="G128" s="29"/>
      <c r="H128" s="29"/>
      <c r="I128" s="29"/>
      <c r="J128" s="29"/>
      <c r="K128" s="50"/>
      <c r="L128" s="50"/>
      <c r="N128" s="29">
        <f t="shared" si="1"/>
        <v>0</v>
      </c>
      <c r="O128" s="29"/>
    </row>
    <row r="129" ht="15.75" customHeight="1">
      <c r="A129" s="30" t="s">
        <v>14</v>
      </c>
      <c r="B129" s="30" t="s">
        <v>29</v>
      </c>
      <c r="C129" s="30" t="s">
        <v>30</v>
      </c>
      <c r="D129" s="30" t="s">
        <v>17</v>
      </c>
      <c r="E129" s="30" t="s">
        <v>31</v>
      </c>
      <c r="F129" s="30" t="s">
        <v>19</v>
      </c>
      <c r="G129" s="30" t="s">
        <v>20</v>
      </c>
      <c r="H129" s="30" t="s">
        <v>21</v>
      </c>
      <c r="I129" s="30" t="s">
        <v>22</v>
      </c>
      <c r="J129" s="30" t="s">
        <v>23</v>
      </c>
      <c r="K129" s="44" t="s">
        <v>24</v>
      </c>
      <c r="L129" s="44" t="s">
        <v>25</v>
      </c>
      <c r="N129" s="29">
        <f t="shared" si="1"/>
        <v>0</v>
      </c>
      <c r="O129" s="29"/>
    </row>
    <row r="130" ht="15.75" customHeight="1">
      <c r="A130" s="31" t="s">
        <v>26</v>
      </c>
      <c r="B130" s="33">
        <v>63.0</v>
      </c>
      <c r="C130" s="33">
        <v>31.4</v>
      </c>
      <c r="D130" s="33">
        <v>0.0</v>
      </c>
      <c r="E130" s="32">
        <v>11.2</v>
      </c>
      <c r="F130" s="32">
        <v>14.8</v>
      </c>
      <c r="G130" s="33">
        <v>18.9</v>
      </c>
      <c r="H130" s="33">
        <v>17.5</v>
      </c>
      <c r="I130" s="32">
        <v>10.4</v>
      </c>
      <c r="J130" s="32">
        <v>22.3</v>
      </c>
      <c r="K130" s="45">
        <v>30.0</v>
      </c>
      <c r="L130" s="45">
        <v>87.0</v>
      </c>
      <c r="N130" s="29">
        <f t="shared" si="1"/>
        <v>306.5</v>
      </c>
      <c r="O130" s="29"/>
    </row>
    <row r="131" ht="15.75" customHeight="1">
      <c r="A131" s="31" t="s">
        <v>27</v>
      </c>
      <c r="B131" s="33">
        <v>31.0</v>
      </c>
      <c r="C131" s="33">
        <v>18.0</v>
      </c>
      <c r="D131" s="33">
        <v>0.0</v>
      </c>
      <c r="E131" s="33">
        <v>0.0</v>
      </c>
      <c r="F131" s="33">
        <v>0.0</v>
      </c>
      <c r="G131" s="33">
        <v>0.0</v>
      </c>
      <c r="H131" s="33">
        <v>0.0</v>
      </c>
      <c r="I131" s="33">
        <v>0.0</v>
      </c>
      <c r="J131" s="33">
        <v>0.0</v>
      </c>
      <c r="K131" s="45">
        <v>1.0</v>
      </c>
      <c r="L131" s="45">
        <v>0.0</v>
      </c>
      <c r="N131" s="29">
        <f t="shared" si="1"/>
        <v>50</v>
      </c>
      <c r="O131" s="29"/>
    </row>
    <row r="132" ht="15.75" customHeight="1">
      <c r="A132" s="34" t="s">
        <v>28</v>
      </c>
      <c r="B132" s="46">
        <f t="shared" ref="B132:C132" si="24">SUM(B130:B131)</f>
        <v>94</v>
      </c>
      <c r="C132" s="46">
        <f t="shared" si="24"/>
        <v>49.4</v>
      </c>
      <c r="D132" s="34">
        <v>0.0</v>
      </c>
      <c r="E132" s="34">
        <v>0.0</v>
      </c>
      <c r="F132" s="34">
        <v>0.0</v>
      </c>
      <c r="G132" s="34">
        <v>0.0</v>
      </c>
      <c r="H132" s="34">
        <v>0.0</v>
      </c>
      <c r="I132" s="34">
        <v>0.0</v>
      </c>
      <c r="J132" s="34">
        <v>0.0</v>
      </c>
      <c r="K132" s="47">
        <f t="shared" ref="K132:L132" si="25">SUM(K130:K131)</f>
        <v>31</v>
      </c>
      <c r="L132" s="47">
        <f t="shared" si="25"/>
        <v>87</v>
      </c>
      <c r="N132" s="29">
        <f t="shared" si="1"/>
        <v>261.4</v>
      </c>
      <c r="O132" s="29"/>
    </row>
    <row r="133" ht="15.75" customHeight="1">
      <c r="K133" s="50"/>
      <c r="L133" s="50"/>
      <c r="N133" s="29">
        <f t="shared" si="1"/>
        <v>0</v>
      </c>
      <c r="O133" s="29"/>
    </row>
    <row r="134" ht="15.75" customHeight="1">
      <c r="A134" s="72" t="s">
        <v>44</v>
      </c>
      <c r="B134" s="29"/>
      <c r="C134" s="29"/>
      <c r="D134" s="29"/>
      <c r="E134" s="29"/>
      <c r="F134" s="29"/>
      <c r="G134" s="29"/>
      <c r="H134" s="29"/>
      <c r="I134" s="29"/>
      <c r="J134" s="29"/>
      <c r="K134" s="50"/>
      <c r="L134" s="50"/>
      <c r="N134" s="29">
        <f t="shared" si="1"/>
        <v>0</v>
      </c>
      <c r="O134" s="29"/>
    </row>
    <row r="135" ht="15.75" customHeight="1">
      <c r="A135" s="30" t="s">
        <v>14</v>
      </c>
      <c r="B135" s="30" t="s">
        <v>29</v>
      </c>
      <c r="C135" s="30" t="s">
        <v>30</v>
      </c>
      <c r="D135" s="30" t="s">
        <v>17</v>
      </c>
      <c r="E135" s="30" t="s">
        <v>31</v>
      </c>
      <c r="F135" s="30" t="s">
        <v>19</v>
      </c>
      <c r="G135" s="30" t="s">
        <v>20</v>
      </c>
      <c r="H135" s="30" t="s">
        <v>21</v>
      </c>
      <c r="I135" s="30" t="s">
        <v>22</v>
      </c>
      <c r="J135" s="30" t="s">
        <v>23</v>
      </c>
      <c r="K135" s="44" t="s">
        <v>24</v>
      </c>
      <c r="L135" s="44" t="s">
        <v>25</v>
      </c>
      <c r="N135" s="29">
        <f t="shared" si="1"/>
        <v>0</v>
      </c>
      <c r="O135" s="29"/>
    </row>
    <row r="136" ht="15.75" customHeight="1">
      <c r="A136" s="31" t="s">
        <v>26</v>
      </c>
      <c r="B136" s="33">
        <v>33.0</v>
      </c>
      <c r="C136" s="33">
        <v>24.1</v>
      </c>
      <c r="D136" s="33">
        <v>0.0</v>
      </c>
      <c r="E136" s="32">
        <v>18.3</v>
      </c>
      <c r="F136" s="32">
        <v>14.5</v>
      </c>
      <c r="G136" s="33">
        <v>20.0</v>
      </c>
      <c r="H136" s="33">
        <v>15.0</v>
      </c>
      <c r="I136" s="33">
        <v>17.0</v>
      </c>
      <c r="J136" s="33">
        <v>16.0</v>
      </c>
      <c r="K136" s="45">
        <v>26.0</v>
      </c>
      <c r="L136" s="45">
        <v>88.0</v>
      </c>
      <c r="N136" s="29">
        <f t="shared" si="1"/>
        <v>271.9</v>
      </c>
      <c r="O136" s="29"/>
    </row>
    <row r="137" ht="15.75" customHeight="1">
      <c r="A137" s="31" t="s">
        <v>27</v>
      </c>
      <c r="B137" s="33">
        <v>11.0</v>
      </c>
      <c r="C137" s="33">
        <v>17.3</v>
      </c>
      <c r="D137" s="33">
        <v>0.0</v>
      </c>
      <c r="E137" s="33">
        <v>5.0</v>
      </c>
      <c r="F137" s="33">
        <v>5.5</v>
      </c>
      <c r="G137" s="33">
        <v>25.0</v>
      </c>
      <c r="H137" s="33">
        <v>10.0</v>
      </c>
      <c r="I137" s="33">
        <v>6.5</v>
      </c>
      <c r="J137" s="33">
        <v>7.5</v>
      </c>
      <c r="K137" s="45">
        <v>1.0</v>
      </c>
      <c r="L137" s="45">
        <v>0.0</v>
      </c>
      <c r="N137" s="29">
        <f t="shared" si="1"/>
        <v>88.8</v>
      </c>
      <c r="O137" s="29"/>
    </row>
    <row r="138" ht="15.75" customHeight="1">
      <c r="A138" s="34" t="s">
        <v>28</v>
      </c>
      <c r="B138" s="46">
        <f t="shared" ref="B138:L138" si="26">SUM(B136:B137)</f>
        <v>44</v>
      </c>
      <c r="C138" s="46">
        <f t="shared" si="26"/>
        <v>41.4</v>
      </c>
      <c r="D138" s="46">
        <f t="shared" si="26"/>
        <v>0</v>
      </c>
      <c r="E138" s="18">
        <f t="shared" si="26"/>
        <v>23.3</v>
      </c>
      <c r="F138" s="18">
        <f t="shared" si="26"/>
        <v>20</v>
      </c>
      <c r="G138" s="18">
        <f t="shared" si="26"/>
        <v>45</v>
      </c>
      <c r="H138" s="18">
        <f t="shared" si="26"/>
        <v>25</v>
      </c>
      <c r="I138" s="18">
        <f t="shared" si="26"/>
        <v>23.5</v>
      </c>
      <c r="J138" s="18">
        <f t="shared" si="26"/>
        <v>23.5</v>
      </c>
      <c r="K138" s="47">
        <f t="shared" si="26"/>
        <v>27</v>
      </c>
      <c r="L138" s="47">
        <f t="shared" si="26"/>
        <v>88</v>
      </c>
      <c r="M138" s="20"/>
      <c r="N138" s="49">
        <f t="shared" si="1"/>
        <v>360.7</v>
      </c>
      <c r="O138" s="49"/>
    </row>
    <row r="139" ht="15.75" customHeight="1">
      <c r="K139" s="50"/>
      <c r="L139" s="50"/>
      <c r="N139" s="29">
        <f t="shared" si="1"/>
        <v>0</v>
      </c>
      <c r="O139" s="29"/>
    </row>
    <row r="140" ht="15.75" customHeight="1">
      <c r="A140" s="72" t="s">
        <v>45</v>
      </c>
      <c r="B140" s="29"/>
      <c r="C140" s="29"/>
      <c r="D140" s="29"/>
      <c r="E140" s="29"/>
      <c r="F140" s="29"/>
      <c r="G140" s="29"/>
      <c r="H140" s="29"/>
      <c r="I140" s="29"/>
      <c r="J140" s="29"/>
      <c r="K140" s="50"/>
      <c r="L140" s="50"/>
      <c r="N140" s="29">
        <f t="shared" si="1"/>
        <v>0</v>
      </c>
      <c r="O140" s="29"/>
    </row>
    <row r="141" ht="15.75" customHeight="1">
      <c r="A141" s="30" t="s">
        <v>14</v>
      </c>
      <c r="B141" s="30" t="s">
        <v>29</v>
      </c>
      <c r="C141" s="30" t="s">
        <v>30</v>
      </c>
      <c r="D141" s="30" t="s">
        <v>17</v>
      </c>
      <c r="E141" s="30" t="s">
        <v>31</v>
      </c>
      <c r="F141" s="30" t="s">
        <v>19</v>
      </c>
      <c r="G141" s="30" t="s">
        <v>20</v>
      </c>
      <c r="H141" s="30" t="s">
        <v>21</v>
      </c>
      <c r="I141" s="30" t="s">
        <v>22</v>
      </c>
      <c r="J141" s="30" t="s">
        <v>23</v>
      </c>
      <c r="K141" s="44" t="s">
        <v>24</v>
      </c>
      <c r="L141" s="44" t="s">
        <v>25</v>
      </c>
      <c r="N141" s="29">
        <f t="shared" si="1"/>
        <v>0</v>
      </c>
      <c r="O141" s="29"/>
    </row>
    <row r="142" ht="15.75" customHeight="1">
      <c r="A142" s="31" t="s">
        <v>26</v>
      </c>
      <c r="B142" s="33">
        <v>29.0</v>
      </c>
      <c r="C142" s="33">
        <v>26.0</v>
      </c>
      <c r="D142" s="33">
        <v>36.0</v>
      </c>
      <c r="E142" s="32">
        <v>11.2</v>
      </c>
      <c r="F142" s="32">
        <v>14.8</v>
      </c>
      <c r="G142" s="33">
        <v>16.0</v>
      </c>
      <c r="H142" s="33">
        <v>17.0</v>
      </c>
      <c r="I142" s="33">
        <v>27.0</v>
      </c>
      <c r="J142" s="33">
        <v>16.0</v>
      </c>
      <c r="K142" s="45">
        <v>29.0</v>
      </c>
      <c r="L142" s="60">
        <v>70.0</v>
      </c>
      <c r="N142" s="29">
        <f t="shared" si="1"/>
        <v>292</v>
      </c>
      <c r="O142" s="29"/>
    </row>
    <row r="143" ht="15.75" customHeight="1">
      <c r="A143" s="31" t="s">
        <v>27</v>
      </c>
      <c r="B143" s="33">
        <v>10.0</v>
      </c>
      <c r="C143" s="33">
        <v>25.0</v>
      </c>
      <c r="D143" s="33">
        <v>29.0</v>
      </c>
      <c r="E143" s="33">
        <v>0.0</v>
      </c>
      <c r="F143" s="33">
        <v>0.0</v>
      </c>
      <c r="G143" s="33">
        <v>10.0</v>
      </c>
      <c r="H143" s="33">
        <v>5.0</v>
      </c>
      <c r="I143" s="33">
        <v>0.0</v>
      </c>
      <c r="J143" s="33">
        <v>0.0</v>
      </c>
      <c r="K143" s="45">
        <v>1.0</v>
      </c>
      <c r="L143" s="60">
        <v>1.0</v>
      </c>
      <c r="N143" s="29">
        <f t="shared" si="1"/>
        <v>81</v>
      </c>
      <c r="O143" s="29"/>
    </row>
    <row r="144" ht="15.75" customHeight="1">
      <c r="A144" s="34" t="s">
        <v>28</v>
      </c>
      <c r="B144" s="46">
        <f>SUM(B142:B143)</f>
        <v>39</v>
      </c>
      <c r="C144" s="34">
        <v>0.0</v>
      </c>
      <c r="D144" s="34">
        <v>0.0</v>
      </c>
      <c r="E144" s="18">
        <f t="shared" ref="E144:L144" si="27">SUM(E142:E143)</f>
        <v>11.2</v>
      </c>
      <c r="F144" s="18">
        <f t="shared" si="27"/>
        <v>14.8</v>
      </c>
      <c r="G144" s="18">
        <f t="shared" si="27"/>
        <v>26</v>
      </c>
      <c r="H144" s="18">
        <f t="shared" si="27"/>
        <v>22</v>
      </c>
      <c r="I144" s="18">
        <f t="shared" si="27"/>
        <v>27</v>
      </c>
      <c r="J144" s="18">
        <f t="shared" si="27"/>
        <v>16</v>
      </c>
      <c r="K144" s="47">
        <f t="shared" si="27"/>
        <v>30</v>
      </c>
      <c r="L144" s="47">
        <f t="shared" si="27"/>
        <v>71</v>
      </c>
      <c r="M144" s="20"/>
      <c r="N144" s="49">
        <f t="shared" si="1"/>
        <v>257</v>
      </c>
      <c r="O144" s="49"/>
    </row>
    <row r="145" ht="15.75" customHeight="1">
      <c r="N145" s="29">
        <f t="shared" si="1"/>
        <v>0</v>
      </c>
      <c r="O145" s="29"/>
    </row>
    <row r="146" ht="15.75" customHeight="1">
      <c r="A146" s="72" t="s">
        <v>46</v>
      </c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N146" s="29">
        <f t="shared" si="1"/>
        <v>0</v>
      </c>
      <c r="O146" s="29"/>
    </row>
    <row r="147" ht="15.75" customHeight="1">
      <c r="A147" s="30" t="s">
        <v>14</v>
      </c>
      <c r="B147" s="30" t="s">
        <v>29</v>
      </c>
      <c r="C147" s="30" t="s">
        <v>30</v>
      </c>
      <c r="D147" s="30" t="s">
        <v>17</v>
      </c>
      <c r="E147" s="30" t="s">
        <v>31</v>
      </c>
      <c r="F147" s="30" t="s">
        <v>19</v>
      </c>
      <c r="G147" s="30" t="s">
        <v>20</v>
      </c>
      <c r="H147" s="30" t="s">
        <v>21</v>
      </c>
      <c r="I147" s="30" t="s">
        <v>22</v>
      </c>
      <c r="J147" s="30" t="s">
        <v>23</v>
      </c>
      <c r="K147" s="44" t="s">
        <v>24</v>
      </c>
      <c r="L147" s="44" t="s">
        <v>25</v>
      </c>
      <c r="N147" s="29">
        <f t="shared" si="1"/>
        <v>0</v>
      </c>
      <c r="O147" s="29"/>
    </row>
    <row r="148" ht="15.75" customHeight="1">
      <c r="A148" s="31" t="s">
        <v>26</v>
      </c>
      <c r="B148" s="33">
        <v>98.0</v>
      </c>
      <c r="C148" s="33">
        <v>34.6</v>
      </c>
      <c r="D148" s="33">
        <v>0.0</v>
      </c>
      <c r="E148" s="32">
        <v>18.3</v>
      </c>
      <c r="F148" s="32">
        <v>14.5</v>
      </c>
      <c r="G148" s="33">
        <v>16.0</v>
      </c>
      <c r="H148" s="33">
        <v>20.0</v>
      </c>
      <c r="I148" s="33">
        <v>14.5</v>
      </c>
      <c r="J148" s="33">
        <v>12.5</v>
      </c>
      <c r="K148" s="45">
        <v>30.0</v>
      </c>
      <c r="L148" s="45">
        <v>87.0</v>
      </c>
      <c r="N148" s="29">
        <f t="shared" si="1"/>
        <v>345.4</v>
      </c>
      <c r="O148" s="29"/>
    </row>
    <row r="149" ht="15.75" customHeight="1">
      <c r="A149" s="31" t="s">
        <v>27</v>
      </c>
      <c r="B149" s="33">
        <v>42.0</v>
      </c>
      <c r="C149" s="33">
        <v>22.2</v>
      </c>
      <c r="D149" s="33">
        <v>0.0</v>
      </c>
      <c r="E149" s="33">
        <v>0.0</v>
      </c>
      <c r="F149" s="33">
        <v>0.0</v>
      </c>
      <c r="G149" s="33">
        <v>25.0</v>
      </c>
      <c r="H149" s="33">
        <v>8.0</v>
      </c>
      <c r="I149" s="33">
        <v>5.0</v>
      </c>
      <c r="J149" s="33">
        <v>6.0</v>
      </c>
      <c r="K149" s="45">
        <v>1.0</v>
      </c>
      <c r="L149" s="45">
        <v>0.0</v>
      </c>
      <c r="N149" s="29">
        <f t="shared" si="1"/>
        <v>109.2</v>
      </c>
      <c r="O149" s="29"/>
    </row>
    <row r="150" ht="15.75" customHeight="1">
      <c r="A150" s="34" t="s">
        <v>28</v>
      </c>
      <c r="B150" s="46">
        <f t="shared" ref="B150:C150" si="28">SUM(B148:B149)</f>
        <v>140</v>
      </c>
      <c r="C150" s="46">
        <f t="shared" si="28"/>
        <v>56.8</v>
      </c>
      <c r="D150" s="34">
        <v>0.0</v>
      </c>
      <c r="E150" s="18">
        <f t="shared" ref="E150:L150" si="29">SUM(E148:E149)</f>
        <v>18.3</v>
      </c>
      <c r="F150" s="18">
        <f t="shared" si="29"/>
        <v>14.5</v>
      </c>
      <c r="G150" s="18">
        <f t="shared" si="29"/>
        <v>41</v>
      </c>
      <c r="H150" s="18">
        <f t="shared" si="29"/>
        <v>28</v>
      </c>
      <c r="I150" s="18">
        <f t="shared" si="29"/>
        <v>19.5</v>
      </c>
      <c r="J150" s="18">
        <f t="shared" si="29"/>
        <v>18.5</v>
      </c>
      <c r="K150" s="47">
        <f t="shared" si="29"/>
        <v>31</v>
      </c>
      <c r="L150" s="47">
        <f t="shared" si="29"/>
        <v>87</v>
      </c>
      <c r="M150" s="20"/>
      <c r="N150" s="49">
        <f t="shared" si="1"/>
        <v>454.6</v>
      </c>
      <c r="O150" s="49"/>
    </row>
    <row r="151" ht="15.75" customHeight="1">
      <c r="K151" s="50"/>
      <c r="L151" s="50"/>
      <c r="N151" s="29">
        <f t="shared" si="1"/>
        <v>0</v>
      </c>
      <c r="O151" s="29"/>
    </row>
    <row r="152" ht="15.75" customHeight="1">
      <c r="A152" s="72" t="s">
        <v>47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50"/>
      <c r="L152" s="50"/>
      <c r="N152" s="29">
        <f t="shared" si="1"/>
        <v>0</v>
      </c>
      <c r="O152" s="29"/>
    </row>
    <row r="153" ht="15.75" customHeight="1">
      <c r="A153" s="30" t="s">
        <v>14</v>
      </c>
      <c r="B153" s="30" t="s">
        <v>29</v>
      </c>
      <c r="C153" s="30" t="s">
        <v>30</v>
      </c>
      <c r="D153" s="30" t="s">
        <v>17</v>
      </c>
      <c r="E153" s="30" t="s">
        <v>31</v>
      </c>
      <c r="F153" s="30" t="s">
        <v>19</v>
      </c>
      <c r="G153" s="30" t="s">
        <v>20</v>
      </c>
      <c r="H153" s="30" t="s">
        <v>21</v>
      </c>
      <c r="I153" s="30" t="s">
        <v>22</v>
      </c>
      <c r="J153" s="30" t="s">
        <v>23</v>
      </c>
      <c r="K153" s="44" t="s">
        <v>24</v>
      </c>
      <c r="L153" s="44" t="s">
        <v>25</v>
      </c>
      <c r="N153" s="29">
        <f t="shared" si="1"/>
        <v>0</v>
      </c>
      <c r="O153" s="29"/>
    </row>
    <row r="154" ht="15.75" customHeight="1">
      <c r="A154" s="31" t="s">
        <v>26</v>
      </c>
      <c r="B154" s="33">
        <v>25.0</v>
      </c>
      <c r="C154" s="33">
        <v>19.0</v>
      </c>
      <c r="D154" s="33">
        <v>0.0</v>
      </c>
      <c r="E154" s="32">
        <v>11.2</v>
      </c>
      <c r="F154" s="32">
        <v>14.8</v>
      </c>
      <c r="G154" s="32">
        <v>18.3</v>
      </c>
      <c r="H154" s="33">
        <v>17.5</v>
      </c>
      <c r="I154" s="32">
        <v>18.3</v>
      </c>
      <c r="J154" s="32">
        <v>14.5</v>
      </c>
      <c r="K154" s="45">
        <v>26.0</v>
      </c>
      <c r="L154" s="45">
        <v>88.0</v>
      </c>
      <c r="N154" s="29">
        <f t="shared" si="1"/>
        <v>252.6</v>
      </c>
      <c r="O154" s="29"/>
    </row>
    <row r="155" ht="15.75" customHeight="1">
      <c r="A155" s="31" t="s">
        <v>27</v>
      </c>
      <c r="B155" s="33">
        <v>10.0</v>
      </c>
      <c r="C155" s="33">
        <v>10.0</v>
      </c>
      <c r="D155" s="33">
        <v>0.0</v>
      </c>
      <c r="E155" s="33">
        <v>0.0</v>
      </c>
      <c r="F155" s="33">
        <v>0.0</v>
      </c>
      <c r="G155" s="33">
        <v>20.0</v>
      </c>
      <c r="H155" s="33">
        <v>10.0</v>
      </c>
      <c r="I155" s="33">
        <v>0.0</v>
      </c>
      <c r="J155" s="33">
        <v>0.0</v>
      </c>
      <c r="K155" s="45">
        <v>1.0</v>
      </c>
      <c r="L155" s="45">
        <v>0.0</v>
      </c>
      <c r="N155" s="29">
        <f t="shared" si="1"/>
        <v>51</v>
      </c>
      <c r="O155" s="29"/>
    </row>
    <row r="156" ht="15.75" customHeight="1">
      <c r="A156" s="34" t="s">
        <v>28</v>
      </c>
      <c r="B156" s="46">
        <f t="shared" ref="B156:L156" si="30">SUM(B154:B155)</f>
        <v>35</v>
      </c>
      <c r="C156" s="46">
        <f t="shared" si="30"/>
        <v>29</v>
      </c>
      <c r="D156" s="46">
        <f t="shared" si="30"/>
        <v>0</v>
      </c>
      <c r="E156" s="18">
        <f t="shared" si="30"/>
        <v>11.2</v>
      </c>
      <c r="F156" s="18">
        <f t="shared" si="30"/>
        <v>14.8</v>
      </c>
      <c r="G156" s="18">
        <f t="shared" si="30"/>
        <v>38.3</v>
      </c>
      <c r="H156" s="18">
        <f t="shared" si="30"/>
        <v>27.5</v>
      </c>
      <c r="I156" s="18">
        <f t="shared" si="30"/>
        <v>18.3</v>
      </c>
      <c r="J156" s="18">
        <f t="shared" si="30"/>
        <v>14.5</v>
      </c>
      <c r="K156" s="47">
        <f t="shared" si="30"/>
        <v>27</v>
      </c>
      <c r="L156" s="47">
        <f t="shared" si="30"/>
        <v>88</v>
      </c>
      <c r="M156" s="20"/>
      <c r="N156" s="49">
        <f t="shared" si="1"/>
        <v>303.6</v>
      </c>
      <c r="O156" s="49"/>
    </row>
    <row r="157" ht="15.75" customHeight="1">
      <c r="K157" s="50"/>
      <c r="L157" s="50"/>
      <c r="N157" s="29">
        <f t="shared" si="1"/>
        <v>0</v>
      </c>
      <c r="O157" s="29"/>
    </row>
    <row r="158" ht="15.75" customHeight="1">
      <c r="A158" s="72" t="s">
        <v>48</v>
      </c>
      <c r="B158" s="29"/>
      <c r="C158" s="29"/>
      <c r="D158" s="29"/>
      <c r="E158" s="29"/>
      <c r="F158" s="29"/>
      <c r="G158" s="29"/>
      <c r="H158" s="29"/>
      <c r="I158" s="29"/>
      <c r="J158" s="29"/>
      <c r="K158" s="50"/>
      <c r="L158" s="50"/>
      <c r="N158" s="29">
        <f t="shared" si="1"/>
        <v>0</v>
      </c>
      <c r="O158" s="29"/>
    </row>
    <row r="159" ht="15.75" customHeight="1">
      <c r="A159" s="30" t="s">
        <v>14</v>
      </c>
      <c r="B159" s="30" t="s">
        <v>29</v>
      </c>
      <c r="C159" s="30" t="s">
        <v>30</v>
      </c>
      <c r="D159" s="30" t="s">
        <v>17</v>
      </c>
      <c r="E159" s="30" t="s">
        <v>31</v>
      </c>
      <c r="F159" s="30" t="s">
        <v>19</v>
      </c>
      <c r="G159" s="30" t="s">
        <v>20</v>
      </c>
      <c r="H159" s="30" t="s">
        <v>21</v>
      </c>
      <c r="I159" s="30" t="s">
        <v>22</v>
      </c>
      <c r="J159" s="30" t="s">
        <v>23</v>
      </c>
      <c r="K159" s="44" t="s">
        <v>24</v>
      </c>
      <c r="L159" s="44" t="s">
        <v>25</v>
      </c>
      <c r="N159" s="29">
        <f t="shared" si="1"/>
        <v>0</v>
      </c>
      <c r="O159" s="29"/>
    </row>
    <row r="160" ht="15.75" customHeight="1">
      <c r="A160" s="31" t="s">
        <v>26</v>
      </c>
      <c r="B160" s="33">
        <v>24.0</v>
      </c>
      <c r="C160" s="33">
        <v>28.0</v>
      </c>
      <c r="D160" s="33">
        <v>0.0</v>
      </c>
      <c r="E160" s="32">
        <v>18.3</v>
      </c>
      <c r="F160" s="32">
        <v>14.5</v>
      </c>
      <c r="G160" s="33">
        <v>22.0</v>
      </c>
      <c r="H160" s="33">
        <v>10.0</v>
      </c>
      <c r="I160" s="33">
        <v>20.0</v>
      </c>
      <c r="J160" s="33">
        <v>14.0</v>
      </c>
      <c r="K160" s="45">
        <v>29.0</v>
      </c>
      <c r="L160" s="60">
        <v>70.0</v>
      </c>
      <c r="N160" s="29">
        <f t="shared" si="1"/>
        <v>249.8</v>
      </c>
      <c r="O160" s="29"/>
    </row>
    <row r="161" ht="15.75" customHeight="1">
      <c r="A161" s="31" t="s">
        <v>27</v>
      </c>
      <c r="B161" s="33">
        <v>11.0</v>
      </c>
      <c r="C161" s="33">
        <v>10.0</v>
      </c>
      <c r="D161" s="33">
        <v>0.0</v>
      </c>
      <c r="E161" s="33">
        <v>0.0</v>
      </c>
      <c r="F161" s="33">
        <v>0.0</v>
      </c>
      <c r="G161" s="33">
        <v>10.0</v>
      </c>
      <c r="H161" s="33">
        <v>20.0</v>
      </c>
      <c r="I161" s="33">
        <v>0.0</v>
      </c>
      <c r="J161" s="33">
        <v>0.0</v>
      </c>
      <c r="K161" s="45">
        <v>1.0</v>
      </c>
      <c r="L161" s="60">
        <v>1.0</v>
      </c>
      <c r="N161" s="29">
        <f t="shared" si="1"/>
        <v>53</v>
      </c>
      <c r="O161" s="29"/>
    </row>
    <row r="162" ht="15.75" customHeight="1">
      <c r="A162" s="34" t="s">
        <v>28</v>
      </c>
      <c r="B162" s="46">
        <f t="shared" ref="B162:C162" si="31">SUM(B160:B161)</f>
        <v>35</v>
      </c>
      <c r="C162" s="46">
        <f t="shared" si="31"/>
        <v>38</v>
      </c>
      <c r="D162" s="34">
        <v>0.0</v>
      </c>
      <c r="E162" s="18">
        <f t="shared" ref="E162:L162" si="32">SUM(E160:E161)</f>
        <v>18.3</v>
      </c>
      <c r="F162" s="18">
        <f t="shared" si="32"/>
        <v>14.5</v>
      </c>
      <c r="G162" s="18">
        <f t="shared" si="32"/>
        <v>32</v>
      </c>
      <c r="H162" s="18">
        <f t="shared" si="32"/>
        <v>30</v>
      </c>
      <c r="I162" s="18">
        <f t="shared" si="32"/>
        <v>20</v>
      </c>
      <c r="J162" s="18">
        <f t="shared" si="32"/>
        <v>14</v>
      </c>
      <c r="K162" s="47">
        <f t="shared" si="32"/>
        <v>30</v>
      </c>
      <c r="L162" s="47">
        <f t="shared" si="32"/>
        <v>71</v>
      </c>
      <c r="M162" s="20"/>
      <c r="N162" s="49">
        <f t="shared" si="1"/>
        <v>302.8</v>
      </c>
      <c r="O162" s="49"/>
    </row>
    <row r="163" ht="15.75" customHeight="1">
      <c r="K163" s="12"/>
      <c r="L163" s="12"/>
      <c r="N163" s="29">
        <f t="shared" si="1"/>
        <v>0</v>
      </c>
      <c r="O163" s="29"/>
    </row>
    <row r="164" ht="15.75" customHeight="1">
      <c r="A164" s="72" t="s">
        <v>49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N164" s="29">
        <f t="shared" si="1"/>
        <v>0</v>
      </c>
      <c r="O164" s="29"/>
    </row>
    <row r="165" ht="15.75" customHeight="1">
      <c r="A165" s="30" t="s">
        <v>14</v>
      </c>
      <c r="B165" s="30" t="s">
        <v>29</v>
      </c>
      <c r="C165" s="30" t="s">
        <v>30</v>
      </c>
      <c r="D165" s="30" t="s">
        <v>17</v>
      </c>
      <c r="E165" s="30" t="s">
        <v>31</v>
      </c>
      <c r="F165" s="30" t="s">
        <v>19</v>
      </c>
      <c r="G165" s="30" t="s">
        <v>20</v>
      </c>
      <c r="H165" s="30" t="s">
        <v>21</v>
      </c>
      <c r="I165" s="30" t="s">
        <v>22</v>
      </c>
      <c r="J165" s="30" t="s">
        <v>23</v>
      </c>
      <c r="K165" s="44" t="s">
        <v>24</v>
      </c>
      <c r="L165" s="44" t="s">
        <v>25</v>
      </c>
      <c r="N165" s="29">
        <f t="shared" si="1"/>
        <v>0</v>
      </c>
      <c r="O165" s="29"/>
    </row>
    <row r="166" ht="15.75" customHeight="1">
      <c r="A166" s="31" t="s">
        <v>26</v>
      </c>
      <c r="B166" s="33">
        <v>83.0</v>
      </c>
      <c r="C166" s="33">
        <v>26.2</v>
      </c>
      <c r="D166" s="33">
        <v>50.0</v>
      </c>
      <c r="E166" s="33">
        <v>12.4</v>
      </c>
      <c r="F166" s="33">
        <v>15.5</v>
      </c>
      <c r="G166" s="33">
        <v>17.8</v>
      </c>
      <c r="H166" s="21">
        <v>19.5</v>
      </c>
      <c r="I166" s="33">
        <v>17.4</v>
      </c>
      <c r="J166" s="33">
        <v>32.7</v>
      </c>
      <c r="K166" s="45">
        <v>30.0</v>
      </c>
      <c r="L166" s="45">
        <v>87.0</v>
      </c>
      <c r="N166" s="29">
        <f t="shared" si="1"/>
        <v>391.5</v>
      </c>
      <c r="O166" s="29"/>
    </row>
    <row r="167" ht="15.75" customHeight="1">
      <c r="A167" s="31" t="s">
        <v>27</v>
      </c>
      <c r="B167" s="33">
        <v>40.0</v>
      </c>
      <c r="C167" s="33">
        <v>17.1</v>
      </c>
      <c r="D167" s="33">
        <v>40.0</v>
      </c>
      <c r="E167" s="33">
        <v>0.0</v>
      </c>
      <c r="F167" s="33">
        <v>0.0</v>
      </c>
      <c r="G167" s="33">
        <v>25.0</v>
      </c>
      <c r="H167" s="33">
        <v>10.0</v>
      </c>
      <c r="I167" s="33">
        <v>0.0</v>
      </c>
      <c r="J167" s="33">
        <v>0.0</v>
      </c>
      <c r="K167" s="45">
        <v>1.0</v>
      </c>
      <c r="L167" s="45">
        <v>0.0</v>
      </c>
      <c r="N167" s="29">
        <f t="shared" si="1"/>
        <v>133.1</v>
      </c>
      <c r="O167" s="29"/>
    </row>
    <row r="168" ht="15.75" customHeight="1">
      <c r="A168" s="34" t="s">
        <v>28</v>
      </c>
      <c r="B168" s="46">
        <f t="shared" ref="B168:L168" si="33">SUM(B166:B167)</f>
        <v>123</v>
      </c>
      <c r="C168" s="46">
        <f t="shared" si="33"/>
        <v>43.3</v>
      </c>
      <c r="D168" s="46">
        <f t="shared" si="33"/>
        <v>90</v>
      </c>
      <c r="E168" s="46">
        <f t="shared" si="33"/>
        <v>12.4</v>
      </c>
      <c r="F168" s="46">
        <f t="shared" si="33"/>
        <v>15.5</v>
      </c>
      <c r="G168" s="46">
        <f t="shared" si="33"/>
        <v>42.8</v>
      </c>
      <c r="H168" s="46">
        <f t="shared" si="33"/>
        <v>29.5</v>
      </c>
      <c r="I168" s="46">
        <f t="shared" si="33"/>
        <v>17.4</v>
      </c>
      <c r="J168" s="46">
        <f t="shared" si="33"/>
        <v>32.7</v>
      </c>
      <c r="K168" s="47">
        <f t="shared" si="33"/>
        <v>31</v>
      </c>
      <c r="L168" s="47">
        <f t="shared" si="33"/>
        <v>87</v>
      </c>
      <c r="M168" s="20"/>
      <c r="N168" s="49">
        <f t="shared" si="1"/>
        <v>524.6</v>
      </c>
      <c r="O168" s="49"/>
    </row>
    <row r="169" ht="15.75" customHeight="1">
      <c r="K169" s="50"/>
      <c r="L169" s="50"/>
      <c r="N169" s="29">
        <f t="shared" si="1"/>
        <v>0</v>
      </c>
      <c r="O169" s="29"/>
    </row>
    <row r="170" ht="15.75" customHeight="1">
      <c r="A170" s="72" t="s">
        <v>50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50"/>
      <c r="L170" s="50"/>
      <c r="N170" s="29">
        <f t="shared" si="1"/>
        <v>0</v>
      </c>
      <c r="O170" s="29"/>
    </row>
    <row r="171" ht="15.75" customHeight="1">
      <c r="A171" s="30" t="s">
        <v>14</v>
      </c>
      <c r="B171" s="30" t="s">
        <v>29</v>
      </c>
      <c r="C171" s="30" t="s">
        <v>30</v>
      </c>
      <c r="D171" s="30" t="s">
        <v>17</v>
      </c>
      <c r="E171" s="30" t="s">
        <v>31</v>
      </c>
      <c r="F171" s="30" t="s">
        <v>19</v>
      </c>
      <c r="G171" s="30" t="s">
        <v>20</v>
      </c>
      <c r="H171" s="30" t="s">
        <v>21</v>
      </c>
      <c r="I171" s="30" t="s">
        <v>22</v>
      </c>
      <c r="J171" s="30" t="s">
        <v>23</v>
      </c>
      <c r="K171" s="44" t="s">
        <v>24</v>
      </c>
      <c r="L171" s="44" t="s">
        <v>25</v>
      </c>
      <c r="N171" s="29">
        <f t="shared" si="1"/>
        <v>0</v>
      </c>
      <c r="O171" s="29"/>
    </row>
    <row r="172" ht="15.75" customHeight="1">
      <c r="A172" s="31" t="s">
        <v>26</v>
      </c>
      <c r="B172" s="33">
        <v>20.0</v>
      </c>
      <c r="C172" s="33">
        <v>36.1</v>
      </c>
      <c r="D172" s="33">
        <v>0.0</v>
      </c>
      <c r="E172" s="33">
        <v>10.4</v>
      </c>
      <c r="F172" s="33">
        <v>19.3</v>
      </c>
      <c r="G172" s="33">
        <v>20.0</v>
      </c>
      <c r="H172" s="21">
        <v>25.0</v>
      </c>
      <c r="I172" s="33">
        <v>12.5</v>
      </c>
      <c r="J172" s="33">
        <v>20.8</v>
      </c>
      <c r="K172" s="45">
        <v>26.0</v>
      </c>
      <c r="L172" s="45">
        <v>88.0</v>
      </c>
      <c r="N172" s="29">
        <f t="shared" si="1"/>
        <v>278.1</v>
      </c>
      <c r="O172" s="29"/>
    </row>
    <row r="173" ht="15.75" customHeight="1">
      <c r="A173" s="31" t="s">
        <v>27</v>
      </c>
      <c r="B173" s="33">
        <v>8.0</v>
      </c>
      <c r="C173" s="33">
        <v>21.2</v>
      </c>
      <c r="D173" s="33">
        <v>0.0</v>
      </c>
      <c r="E173" s="33">
        <v>0.0</v>
      </c>
      <c r="F173" s="33">
        <v>0.0</v>
      </c>
      <c r="G173" s="33">
        <v>10.0</v>
      </c>
      <c r="H173" s="33">
        <v>10.0</v>
      </c>
      <c r="I173" s="33">
        <v>0.0</v>
      </c>
      <c r="J173" s="33">
        <v>0.0</v>
      </c>
      <c r="K173" s="45">
        <v>1.0</v>
      </c>
      <c r="L173" s="45">
        <v>0.0</v>
      </c>
      <c r="N173" s="29">
        <f t="shared" si="1"/>
        <v>50.2</v>
      </c>
      <c r="O173" s="29"/>
    </row>
    <row r="174" ht="15.75" customHeight="1">
      <c r="A174" s="34" t="s">
        <v>28</v>
      </c>
      <c r="B174" s="46">
        <f t="shared" ref="B174:L174" si="34">SUM(B172:B173)</f>
        <v>28</v>
      </c>
      <c r="C174" s="46">
        <f t="shared" si="34"/>
        <v>57.3</v>
      </c>
      <c r="D174" s="46">
        <f t="shared" si="34"/>
        <v>0</v>
      </c>
      <c r="E174" s="46">
        <f t="shared" si="34"/>
        <v>10.4</v>
      </c>
      <c r="F174" s="46">
        <f t="shared" si="34"/>
        <v>19.3</v>
      </c>
      <c r="G174" s="46">
        <f t="shared" si="34"/>
        <v>30</v>
      </c>
      <c r="H174" s="46">
        <f t="shared" si="34"/>
        <v>35</v>
      </c>
      <c r="I174" s="46">
        <f t="shared" si="34"/>
        <v>12.5</v>
      </c>
      <c r="J174" s="46">
        <f t="shared" si="34"/>
        <v>20.8</v>
      </c>
      <c r="K174" s="47">
        <f t="shared" si="34"/>
        <v>27</v>
      </c>
      <c r="L174" s="47">
        <f t="shared" si="34"/>
        <v>88</v>
      </c>
      <c r="M174" s="20"/>
      <c r="N174" s="49">
        <f t="shared" si="1"/>
        <v>328.3</v>
      </c>
      <c r="O174" s="49"/>
    </row>
    <row r="175" ht="15.75" customHeight="1">
      <c r="K175" s="50"/>
      <c r="L175" s="50"/>
      <c r="N175" s="29">
        <f t="shared" si="1"/>
        <v>0</v>
      </c>
      <c r="O175" s="29"/>
    </row>
    <row r="176" ht="15.75" customHeight="1">
      <c r="A176" s="72" t="s">
        <v>51</v>
      </c>
      <c r="B176" s="29"/>
      <c r="C176" s="29"/>
      <c r="D176" s="29"/>
      <c r="E176" s="29"/>
      <c r="F176" s="29"/>
      <c r="G176" s="29"/>
      <c r="H176" s="29"/>
      <c r="I176" s="29"/>
      <c r="J176" s="29"/>
      <c r="K176" s="50"/>
      <c r="L176" s="50"/>
      <c r="N176" s="29">
        <f t="shared" si="1"/>
        <v>0</v>
      </c>
      <c r="O176" s="29"/>
    </row>
    <row r="177" ht="15.75" customHeight="1">
      <c r="A177" s="30" t="s">
        <v>14</v>
      </c>
      <c r="B177" s="30" t="s">
        <v>29</v>
      </c>
      <c r="C177" s="30" t="s">
        <v>30</v>
      </c>
      <c r="D177" s="30" t="s">
        <v>17</v>
      </c>
      <c r="E177" s="30" t="s">
        <v>31</v>
      </c>
      <c r="F177" s="30" t="s">
        <v>19</v>
      </c>
      <c r="G177" s="30" t="s">
        <v>20</v>
      </c>
      <c r="H177" s="30" t="s">
        <v>21</v>
      </c>
      <c r="I177" s="30" t="s">
        <v>22</v>
      </c>
      <c r="J177" s="30" t="s">
        <v>23</v>
      </c>
      <c r="K177" s="44" t="s">
        <v>24</v>
      </c>
      <c r="L177" s="44" t="s">
        <v>25</v>
      </c>
      <c r="N177" s="29">
        <f t="shared" si="1"/>
        <v>0</v>
      </c>
      <c r="O177" s="29"/>
    </row>
    <row r="178" ht="15.75" customHeight="1">
      <c r="A178" s="31" t="s">
        <v>26</v>
      </c>
      <c r="B178" s="33">
        <v>93.0</v>
      </c>
      <c r="C178" s="33">
        <v>30.0</v>
      </c>
      <c r="D178" s="33">
        <v>30.0</v>
      </c>
      <c r="E178" s="33">
        <v>20.4</v>
      </c>
      <c r="F178" s="33">
        <v>18.8</v>
      </c>
      <c r="G178" s="33">
        <v>26.0</v>
      </c>
      <c r="H178" s="33">
        <v>16.0</v>
      </c>
      <c r="I178" s="33">
        <v>13.3</v>
      </c>
      <c r="J178" s="33">
        <v>29.9</v>
      </c>
      <c r="K178" s="45">
        <v>29.0</v>
      </c>
      <c r="L178" s="60">
        <v>70.0</v>
      </c>
      <c r="M178" s="21"/>
      <c r="N178" s="29">
        <f t="shared" si="1"/>
        <v>376.4</v>
      </c>
      <c r="O178" s="29"/>
    </row>
    <row r="179" ht="15.75" customHeight="1">
      <c r="A179" s="31" t="s">
        <v>27</v>
      </c>
      <c r="B179" s="33">
        <v>56.0</v>
      </c>
      <c r="C179" s="33">
        <v>22.0</v>
      </c>
      <c r="D179" s="33">
        <v>25.0</v>
      </c>
      <c r="E179" s="33">
        <v>0.0</v>
      </c>
      <c r="F179" s="33">
        <v>0.0</v>
      </c>
      <c r="G179" s="33">
        <v>10.0</v>
      </c>
      <c r="H179" s="33">
        <v>9.0</v>
      </c>
      <c r="I179" s="33">
        <v>0.0</v>
      </c>
      <c r="J179" s="33">
        <v>0.0</v>
      </c>
      <c r="K179" s="45">
        <v>1.0</v>
      </c>
      <c r="L179" s="60">
        <v>1.0</v>
      </c>
      <c r="M179" s="21"/>
      <c r="N179" s="29">
        <f t="shared" si="1"/>
        <v>124</v>
      </c>
      <c r="O179" s="29"/>
    </row>
    <row r="180" ht="15.75" customHeight="1">
      <c r="A180" s="34" t="s">
        <v>28</v>
      </c>
      <c r="B180" s="46">
        <f t="shared" ref="B180:L180" si="35">SUM(B178:B179)</f>
        <v>149</v>
      </c>
      <c r="C180" s="46">
        <f t="shared" si="35"/>
        <v>52</v>
      </c>
      <c r="D180" s="46">
        <f t="shared" si="35"/>
        <v>55</v>
      </c>
      <c r="E180" s="46">
        <f t="shared" si="35"/>
        <v>20.4</v>
      </c>
      <c r="F180" s="46">
        <f t="shared" si="35"/>
        <v>18.8</v>
      </c>
      <c r="G180" s="46">
        <f t="shared" si="35"/>
        <v>36</v>
      </c>
      <c r="H180" s="46">
        <f t="shared" si="35"/>
        <v>25</v>
      </c>
      <c r="I180" s="46">
        <f t="shared" si="35"/>
        <v>13.3</v>
      </c>
      <c r="J180" s="46">
        <f t="shared" si="35"/>
        <v>29.9</v>
      </c>
      <c r="K180" s="47">
        <f t="shared" si="35"/>
        <v>30</v>
      </c>
      <c r="L180" s="47">
        <f t="shared" si="35"/>
        <v>71</v>
      </c>
      <c r="M180" s="20"/>
      <c r="N180" s="49">
        <f t="shared" si="1"/>
        <v>500.4</v>
      </c>
      <c r="O180" s="49"/>
    </row>
    <row r="181" ht="15.75" customHeight="1">
      <c r="N181" s="29">
        <f t="shared" si="1"/>
        <v>0</v>
      </c>
      <c r="O181" s="29"/>
    </row>
    <row r="182" ht="15.75" customHeight="1">
      <c r="A182" s="72" t="s">
        <v>52</v>
      </c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N182" s="29">
        <f t="shared" si="1"/>
        <v>0</v>
      </c>
      <c r="O182" s="29"/>
    </row>
    <row r="183" ht="15.75" customHeight="1">
      <c r="A183" s="30" t="s">
        <v>14</v>
      </c>
      <c r="B183" s="30" t="s">
        <v>29</v>
      </c>
      <c r="C183" s="30" t="s">
        <v>30</v>
      </c>
      <c r="D183" s="30" t="s">
        <v>17</v>
      </c>
      <c r="E183" s="30" t="s">
        <v>31</v>
      </c>
      <c r="F183" s="30" t="s">
        <v>19</v>
      </c>
      <c r="G183" s="30" t="s">
        <v>20</v>
      </c>
      <c r="H183" s="30" t="s">
        <v>21</v>
      </c>
      <c r="I183" s="30" t="s">
        <v>22</v>
      </c>
      <c r="J183" s="30" t="s">
        <v>23</v>
      </c>
      <c r="K183" s="30" t="s">
        <v>24</v>
      </c>
      <c r="L183" s="30" t="s">
        <v>25</v>
      </c>
      <c r="N183" s="29">
        <f t="shared" si="1"/>
        <v>0</v>
      </c>
      <c r="O183" s="29"/>
    </row>
    <row r="184" ht="15.75" customHeight="1">
      <c r="A184" s="31" t="s">
        <v>26</v>
      </c>
      <c r="B184" s="33">
        <v>62.0</v>
      </c>
      <c r="C184" s="33">
        <v>29.1</v>
      </c>
      <c r="D184" s="33">
        <v>0.0</v>
      </c>
      <c r="E184" s="33">
        <v>18.2</v>
      </c>
      <c r="F184" s="33">
        <v>16.6</v>
      </c>
      <c r="G184" s="33">
        <v>20.0</v>
      </c>
      <c r="H184" s="33">
        <v>25.0</v>
      </c>
      <c r="I184" s="33">
        <v>22.5</v>
      </c>
      <c r="J184" s="33">
        <v>34.2</v>
      </c>
      <c r="K184" s="33">
        <v>26.0</v>
      </c>
      <c r="L184" s="33">
        <v>88.0</v>
      </c>
      <c r="N184" s="29">
        <f t="shared" si="1"/>
        <v>341.6</v>
      </c>
      <c r="O184" s="29"/>
    </row>
    <row r="185" ht="15.75" customHeight="1">
      <c r="A185" s="31" t="s">
        <v>27</v>
      </c>
      <c r="B185" s="33">
        <v>34.0</v>
      </c>
      <c r="C185" s="33">
        <v>17.3</v>
      </c>
      <c r="D185" s="33">
        <v>0.0</v>
      </c>
      <c r="E185" s="33">
        <v>0.0</v>
      </c>
      <c r="F185" s="33">
        <v>0.0</v>
      </c>
      <c r="G185" s="33">
        <v>10.0</v>
      </c>
      <c r="H185" s="33">
        <v>15.0</v>
      </c>
      <c r="I185" s="33">
        <v>0.0</v>
      </c>
      <c r="J185" s="33">
        <v>0.0</v>
      </c>
      <c r="K185" s="33">
        <v>1.0</v>
      </c>
      <c r="L185" s="33">
        <v>0.0</v>
      </c>
      <c r="N185" s="29">
        <f t="shared" si="1"/>
        <v>77.3</v>
      </c>
      <c r="O185" s="29"/>
    </row>
    <row r="186" ht="15.75" customHeight="1">
      <c r="A186" s="34" t="s">
        <v>28</v>
      </c>
      <c r="B186" s="46">
        <f t="shared" ref="B186:L186" si="36">SUM(B184:B185)</f>
        <v>96</v>
      </c>
      <c r="C186" s="46">
        <f t="shared" si="36"/>
        <v>46.4</v>
      </c>
      <c r="D186" s="46">
        <f t="shared" si="36"/>
        <v>0</v>
      </c>
      <c r="E186" s="46">
        <f t="shared" si="36"/>
        <v>18.2</v>
      </c>
      <c r="F186" s="46">
        <f t="shared" si="36"/>
        <v>16.6</v>
      </c>
      <c r="G186" s="46">
        <f t="shared" si="36"/>
        <v>30</v>
      </c>
      <c r="H186" s="46">
        <f t="shared" si="36"/>
        <v>40</v>
      </c>
      <c r="I186" s="46">
        <f t="shared" si="36"/>
        <v>22.5</v>
      </c>
      <c r="J186" s="46">
        <f t="shared" si="36"/>
        <v>34.2</v>
      </c>
      <c r="K186" s="46">
        <f t="shared" si="36"/>
        <v>27</v>
      </c>
      <c r="L186" s="46">
        <f t="shared" si="36"/>
        <v>88</v>
      </c>
      <c r="M186" s="20"/>
      <c r="N186" s="49">
        <f t="shared" si="1"/>
        <v>418.9</v>
      </c>
      <c r="O186" s="49"/>
    </row>
    <row r="187" ht="15.75" customHeight="1"/>
    <row r="188" ht="15.75" customHeight="1">
      <c r="M188" s="38" t="s">
        <v>32</v>
      </c>
      <c r="N188" s="62">
        <f t="shared" ref="N188:N189" si="37">sum(N4+N10+N16+N22+N28+N34+N40+N46+N52+N58+N64+N70+N76+N82+N88+N94+N100+N106+N112+N118+N124+N130+N136+N142+N148+N154+N160+N166+N172+N178+N184)</f>
        <v>9851.06</v>
      </c>
      <c r="O188" s="24"/>
    </row>
    <row r="189" ht="15.75" customHeight="1">
      <c r="M189" s="39" t="s">
        <v>33</v>
      </c>
      <c r="N189" s="40">
        <f t="shared" si="37"/>
        <v>2717.11</v>
      </c>
      <c r="O189" s="24"/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sheetData>
    <row r="2">
      <c r="A2" s="37">
        <v>45870.0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>
      <c r="A3" s="30" t="s">
        <v>14</v>
      </c>
      <c r="B3" s="30" t="s">
        <v>29</v>
      </c>
      <c r="C3" s="30" t="s">
        <v>30</v>
      </c>
      <c r="D3" s="30" t="s">
        <v>17</v>
      </c>
      <c r="E3" s="30" t="s">
        <v>31</v>
      </c>
      <c r="F3" s="30" t="s">
        <v>19</v>
      </c>
      <c r="G3" s="30" t="s">
        <v>20</v>
      </c>
      <c r="H3" s="30" t="s">
        <v>21</v>
      </c>
      <c r="I3" s="30" t="s">
        <v>22</v>
      </c>
      <c r="J3" s="30" t="s">
        <v>23</v>
      </c>
      <c r="K3" s="43" t="s">
        <v>24</v>
      </c>
      <c r="L3" s="44" t="s">
        <v>25</v>
      </c>
    </row>
    <row r="4">
      <c r="A4" s="31" t="s">
        <v>26</v>
      </c>
      <c r="B4" s="33">
        <v>77.0</v>
      </c>
      <c r="C4" s="33">
        <v>36.3</v>
      </c>
      <c r="D4" s="33">
        <v>0.0</v>
      </c>
      <c r="E4" s="33">
        <v>23.5</v>
      </c>
      <c r="F4" s="33">
        <v>19.2</v>
      </c>
      <c r="G4" s="33">
        <v>8.0</v>
      </c>
      <c r="H4" s="33">
        <v>15.0</v>
      </c>
      <c r="I4" s="33">
        <v>16.0</v>
      </c>
      <c r="J4" s="33">
        <v>23.4</v>
      </c>
      <c r="K4" s="45">
        <v>7.0</v>
      </c>
      <c r="L4" s="45">
        <v>89.0</v>
      </c>
      <c r="N4" s="17">
        <f t="shared" ref="N4:N180" si="1">sum(B4:L4)</f>
        <v>314.4</v>
      </c>
    </row>
    <row r="5">
      <c r="A5" s="31" t="s">
        <v>27</v>
      </c>
      <c r="B5" s="33">
        <v>36.0</v>
      </c>
      <c r="C5" s="33">
        <v>22.1</v>
      </c>
      <c r="D5" s="33">
        <v>0.0</v>
      </c>
      <c r="E5" s="33">
        <v>0.0</v>
      </c>
      <c r="F5" s="33">
        <v>0.0</v>
      </c>
      <c r="G5" s="33">
        <v>9.0</v>
      </c>
      <c r="H5" s="33">
        <v>10.0</v>
      </c>
      <c r="I5" s="33">
        <v>0.0</v>
      </c>
      <c r="J5" s="33">
        <v>0.0</v>
      </c>
      <c r="K5" s="45">
        <v>2.0</v>
      </c>
      <c r="L5" s="45">
        <v>2.0</v>
      </c>
      <c r="N5" s="17">
        <f t="shared" si="1"/>
        <v>81.1</v>
      </c>
    </row>
    <row r="6">
      <c r="A6" s="34" t="s">
        <v>28</v>
      </c>
      <c r="B6" s="46">
        <f t="shared" ref="B6:C6" si="2">SUM(B4:B5)</f>
        <v>113</v>
      </c>
      <c r="C6" s="46">
        <f t="shared" si="2"/>
        <v>58.4</v>
      </c>
      <c r="D6" s="34">
        <v>0.0</v>
      </c>
      <c r="E6" s="46">
        <f t="shared" ref="E6:L6" si="3">SUM(E4:E5)</f>
        <v>23.5</v>
      </c>
      <c r="F6" s="46">
        <f t="shared" si="3"/>
        <v>19.2</v>
      </c>
      <c r="G6" s="46">
        <f t="shared" si="3"/>
        <v>17</v>
      </c>
      <c r="H6" s="46">
        <f t="shared" si="3"/>
        <v>25</v>
      </c>
      <c r="I6" s="46">
        <f t="shared" si="3"/>
        <v>16</v>
      </c>
      <c r="J6" s="46">
        <f t="shared" si="3"/>
        <v>23.4</v>
      </c>
      <c r="K6" s="47">
        <f t="shared" si="3"/>
        <v>9</v>
      </c>
      <c r="L6" s="47">
        <f t="shared" si="3"/>
        <v>91</v>
      </c>
      <c r="M6" s="20"/>
      <c r="N6" s="20">
        <f t="shared" si="1"/>
        <v>395.5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K7" s="50"/>
      <c r="L7" s="50"/>
      <c r="N7" s="17">
        <f t="shared" si="1"/>
        <v>0</v>
      </c>
    </row>
    <row r="8">
      <c r="A8" s="37">
        <v>45871.0</v>
      </c>
      <c r="B8" s="29"/>
      <c r="C8" s="29"/>
      <c r="D8" s="29"/>
      <c r="E8" s="29"/>
      <c r="F8" s="29"/>
      <c r="G8" s="29"/>
      <c r="H8" s="29"/>
      <c r="I8" s="29"/>
      <c r="J8" s="29"/>
      <c r="K8" s="50"/>
      <c r="L8" s="50"/>
      <c r="N8" s="17">
        <f t="shared" si="1"/>
        <v>0</v>
      </c>
    </row>
    <row r="9">
      <c r="A9" s="30" t="s">
        <v>14</v>
      </c>
      <c r="B9" s="30" t="s">
        <v>29</v>
      </c>
      <c r="C9" s="30" t="s">
        <v>30</v>
      </c>
      <c r="D9" s="30" t="s">
        <v>17</v>
      </c>
      <c r="E9" s="30" t="s">
        <v>31</v>
      </c>
      <c r="F9" s="30" t="s">
        <v>19</v>
      </c>
      <c r="G9" s="30" t="s">
        <v>20</v>
      </c>
      <c r="H9" s="30" t="s">
        <v>21</v>
      </c>
      <c r="I9" s="30" t="s">
        <v>22</v>
      </c>
      <c r="J9" s="30" t="s">
        <v>23</v>
      </c>
      <c r="K9" s="43" t="s">
        <v>24</v>
      </c>
      <c r="L9" s="44" t="s">
        <v>25</v>
      </c>
      <c r="N9" s="17">
        <f t="shared" si="1"/>
        <v>0</v>
      </c>
    </row>
    <row r="10">
      <c r="A10" s="31" t="s">
        <v>26</v>
      </c>
      <c r="B10" s="33">
        <v>96.0</v>
      </c>
      <c r="C10" s="33">
        <v>10.0</v>
      </c>
      <c r="D10" s="33">
        <v>40.0</v>
      </c>
      <c r="E10" s="33">
        <v>14.4</v>
      </c>
      <c r="F10" s="33">
        <v>16.9</v>
      </c>
      <c r="G10" s="33">
        <v>11.0</v>
      </c>
      <c r="H10" s="33">
        <v>20.0</v>
      </c>
      <c r="I10" s="33">
        <v>16.4</v>
      </c>
      <c r="J10" s="33">
        <v>33.5</v>
      </c>
      <c r="K10" s="45">
        <v>25.0</v>
      </c>
      <c r="L10" s="45">
        <v>90.0</v>
      </c>
      <c r="N10" s="17">
        <f t="shared" si="1"/>
        <v>373.2</v>
      </c>
    </row>
    <row r="11">
      <c r="A11" s="31" t="s">
        <v>27</v>
      </c>
      <c r="B11" s="33">
        <v>78.0</v>
      </c>
      <c r="C11" s="33">
        <v>5.31</v>
      </c>
      <c r="D11" s="33">
        <v>32.0</v>
      </c>
      <c r="E11" s="33">
        <v>0.0</v>
      </c>
      <c r="F11" s="33">
        <v>0.0</v>
      </c>
      <c r="G11" s="33">
        <v>15.0</v>
      </c>
      <c r="H11" s="33">
        <v>6.0</v>
      </c>
      <c r="I11" s="33">
        <v>0.0</v>
      </c>
      <c r="J11" s="33">
        <v>0.0</v>
      </c>
      <c r="K11" s="45">
        <v>2.0</v>
      </c>
      <c r="L11" s="45">
        <v>0.0</v>
      </c>
      <c r="N11" s="17">
        <f t="shared" si="1"/>
        <v>138.31</v>
      </c>
    </row>
    <row r="12">
      <c r="A12" s="34" t="s">
        <v>28</v>
      </c>
      <c r="B12" s="46">
        <f t="shared" ref="B12:L12" si="4">SUM(B10:B11)</f>
        <v>174</v>
      </c>
      <c r="C12" s="46">
        <f t="shared" si="4"/>
        <v>15.31</v>
      </c>
      <c r="D12" s="46">
        <f t="shared" si="4"/>
        <v>72</v>
      </c>
      <c r="E12" s="46">
        <f t="shared" si="4"/>
        <v>14.4</v>
      </c>
      <c r="F12" s="46">
        <f t="shared" si="4"/>
        <v>16.9</v>
      </c>
      <c r="G12" s="46">
        <f t="shared" si="4"/>
        <v>26</v>
      </c>
      <c r="H12" s="46">
        <f t="shared" si="4"/>
        <v>26</v>
      </c>
      <c r="I12" s="46">
        <f t="shared" si="4"/>
        <v>16.4</v>
      </c>
      <c r="J12" s="46">
        <f t="shared" si="4"/>
        <v>33.5</v>
      </c>
      <c r="K12" s="47">
        <f t="shared" si="4"/>
        <v>27</v>
      </c>
      <c r="L12" s="47">
        <f t="shared" si="4"/>
        <v>90</v>
      </c>
      <c r="M12" s="20"/>
      <c r="N12" s="20">
        <f t="shared" si="1"/>
        <v>511.51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K13" s="50"/>
      <c r="L13" s="50"/>
      <c r="N13" s="17">
        <f t="shared" si="1"/>
        <v>0</v>
      </c>
    </row>
    <row r="14">
      <c r="A14" s="37">
        <v>45872.0</v>
      </c>
      <c r="B14" s="29"/>
      <c r="C14" s="29"/>
      <c r="D14" s="29"/>
      <c r="E14" s="29"/>
      <c r="F14" s="29"/>
      <c r="G14" s="29"/>
      <c r="H14" s="29"/>
      <c r="I14" s="29"/>
      <c r="J14" s="29"/>
      <c r="K14" s="50"/>
      <c r="L14" s="50"/>
      <c r="N14" s="17">
        <f t="shared" si="1"/>
        <v>0</v>
      </c>
    </row>
    <row r="15">
      <c r="A15" s="30" t="s">
        <v>14</v>
      </c>
      <c r="B15" s="30" t="s">
        <v>29</v>
      </c>
      <c r="C15" s="30" t="s">
        <v>30</v>
      </c>
      <c r="D15" s="30" t="s">
        <v>17</v>
      </c>
      <c r="E15" s="30" t="s">
        <v>31</v>
      </c>
      <c r="F15" s="30" t="s">
        <v>19</v>
      </c>
      <c r="G15" s="30" t="s">
        <v>20</v>
      </c>
      <c r="H15" s="30" t="s">
        <v>21</v>
      </c>
      <c r="I15" s="30" t="s">
        <v>22</v>
      </c>
      <c r="J15" s="30" t="s">
        <v>23</v>
      </c>
      <c r="K15" s="43" t="s">
        <v>24</v>
      </c>
      <c r="L15" s="44" t="s">
        <v>25</v>
      </c>
      <c r="N15" s="17">
        <f t="shared" si="1"/>
        <v>0</v>
      </c>
    </row>
    <row r="16">
      <c r="A16" s="31" t="s">
        <v>26</v>
      </c>
      <c r="B16" s="33">
        <v>92.0</v>
      </c>
      <c r="C16" s="33">
        <v>24.0</v>
      </c>
      <c r="D16" s="33">
        <v>0.0</v>
      </c>
      <c r="E16" s="33">
        <v>12.5</v>
      </c>
      <c r="F16" s="33">
        <v>14.0</v>
      </c>
      <c r="G16" s="33">
        <v>15.0</v>
      </c>
      <c r="H16" s="33">
        <v>25.0</v>
      </c>
      <c r="I16" s="33">
        <v>15.5</v>
      </c>
      <c r="J16" s="33">
        <v>27.9</v>
      </c>
      <c r="K16" s="45">
        <v>8.0</v>
      </c>
      <c r="L16" s="45">
        <v>80.0</v>
      </c>
      <c r="N16" s="17">
        <f t="shared" si="1"/>
        <v>313.9</v>
      </c>
    </row>
    <row r="17">
      <c r="A17" s="31" t="s">
        <v>27</v>
      </c>
      <c r="B17" s="33">
        <v>22.0</v>
      </c>
      <c r="C17" s="33">
        <v>16.1</v>
      </c>
      <c r="D17" s="33">
        <v>0.0</v>
      </c>
      <c r="E17" s="33">
        <v>0.0</v>
      </c>
      <c r="F17" s="33">
        <v>0.0</v>
      </c>
      <c r="G17" s="33">
        <v>25.0</v>
      </c>
      <c r="H17" s="33">
        <v>8.0</v>
      </c>
      <c r="I17" s="33">
        <v>0.0</v>
      </c>
      <c r="J17" s="33">
        <v>0.0</v>
      </c>
      <c r="K17" s="45">
        <v>0.0</v>
      </c>
      <c r="L17" s="45">
        <v>2.0</v>
      </c>
      <c r="N17" s="17">
        <f t="shared" si="1"/>
        <v>73.1</v>
      </c>
    </row>
    <row r="18">
      <c r="A18" s="34" t="s">
        <v>28</v>
      </c>
      <c r="B18" s="46">
        <f t="shared" ref="B18:L18" si="5">SUM(B16:B17)</f>
        <v>114</v>
      </c>
      <c r="C18" s="46">
        <f t="shared" si="5"/>
        <v>40.1</v>
      </c>
      <c r="D18" s="46">
        <f t="shared" si="5"/>
        <v>0</v>
      </c>
      <c r="E18" s="46">
        <f t="shared" si="5"/>
        <v>12.5</v>
      </c>
      <c r="F18" s="46">
        <f t="shared" si="5"/>
        <v>14</v>
      </c>
      <c r="G18" s="46">
        <f t="shared" si="5"/>
        <v>40</v>
      </c>
      <c r="H18" s="46">
        <f t="shared" si="5"/>
        <v>33</v>
      </c>
      <c r="I18" s="46">
        <f t="shared" si="5"/>
        <v>15.5</v>
      </c>
      <c r="J18" s="46">
        <f t="shared" si="5"/>
        <v>27.9</v>
      </c>
      <c r="K18" s="47">
        <f t="shared" si="5"/>
        <v>8</v>
      </c>
      <c r="L18" s="47">
        <f t="shared" si="5"/>
        <v>82</v>
      </c>
      <c r="M18" s="20"/>
      <c r="N18" s="20">
        <f t="shared" si="1"/>
        <v>387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K19" s="50"/>
      <c r="L19" s="50"/>
      <c r="N19" s="17">
        <f t="shared" si="1"/>
        <v>0</v>
      </c>
    </row>
    <row r="20">
      <c r="A20" s="37">
        <v>45873.0</v>
      </c>
      <c r="B20" s="29"/>
      <c r="C20" s="29"/>
      <c r="D20" s="29"/>
      <c r="E20" s="29"/>
      <c r="F20" s="29"/>
      <c r="G20" s="29"/>
      <c r="H20" s="29"/>
      <c r="I20" s="29"/>
      <c r="J20" s="29"/>
      <c r="K20" s="50"/>
      <c r="L20" s="50"/>
      <c r="N20" s="17">
        <f t="shared" si="1"/>
        <v>0</v>
      </c>
    </row>
    <row r="21">
      <c r="A21" s="30" t="s">
        <v>14</v>
      </c>
      <c r="B21" s="30" t="s">
        <v>29</v>
      </c>
      <c r="C21" s="30" t="s">
        <v>30</v>
      </c>
      <c r="D21" s="30" t="s">
        <v>17</v>
      </c>
      <c r="E21" s="30" t="s">
        <v>31</v>
      </c>
      <c r="F21" s="30" t="s">
        <v>19</v>
      </c>
      <c r="G21" s="30" t="s">
        <v>20</v>
      </c>
      <c r="H21" s="30" t="s">
        <v>21</v>
      </c>
      <c r="I21" s="30" t="s">
        <v>22</v>
      </c>
      <c r="J21" s="30" t="s">
        <v>23</v>
      </c>
      <c r="K21" s="43" t="s">
        <v>24</v>
      </c>
      <c r="L21" s="44" t="s">
        <v>25</v>
      </c>
      <c r="N21" s="17">
        <f t="shared" si="1"/>
        <v>0</v>
      </c>
    </row>
    <row r="22">
      <c r="A22" s="31" t="s">
        <v>26</v>
      </c>
      <c r="B22" s="33">
        <v>72.0</v>
      </c>
      <c r="C22" s="33">
        <v>29.0</v>
      </c>
      <c r="D22" s="33">
        <v>40.0</v>
      </c>
      <c r="E22" s="33">
        <v>16.2</v>
      </c>
      <c r="F22" s="33">
        <v>18.4</v>
      </c>
      <c r="G22" s="33">
        <v>15.0</v>
      </c>
      <c r="H22" s="33">
        <v>25.0</v>
      </c>
      <c r="I22" s="21">
        <v>25.9</v>
      </c>
      <c r="J22" s="33">
        <v>39.4</v>
      </c>
      <c r="K22" s="45">
        <v>8.0</v>
      </c>
      <c r="L22" s="45">
        <v>28.0</v>
      </c>
      <c r="N22" s="17">
        <f t="shared" si="1"/>
        <v>316.9</v>
      </c>
    </row>
    <row r="23">
      <c r="A23" s="31" t="s">
        <v>27</v>
      </c>
      <c r="B23" s="33">
        <v>47.0</v>
      </c>
      <c r="C23" s="33">
        <v>19.2</v>
      </c>
      <c r="D23" s="33">
        <v>10.0</v>
      </c>
      <c r="E23" s="33">
        <v>0.0</v>
      </c>
      <c r="F23" s="33">
        <v>0.0</v>
      </c>
      <c r="G23" s="33">
        <v>25.0</v>
      </c>
      <c r="H23" s="33">
        <v>8.0</v>
      </c>
      <c r="I23" s="33">
        <v>0.0</v>
      </c>
      <c r="J23" s="33">
        <v>0.0</v>
      </c>
      <c r="K23" s="45">
        <v>2.0</v>
      </c>
      <c r="L23" s="45">
        <v>2.0</v>
      </c>
      <c r="N23" s="17">
        <f t="shared" si="1"/>
        <v>113.2</v>
      </c>
    </row>
    <row r="24">
      <c r="A24" s="34" t="s">
        <v>28</v>
      </c>
      <c r="B24" s="46">
        <f t="shared" ref="B24:L24" si="6">SUM(B22:B23)</f>
        <v>119</v>
      </c>
      <c r="C24" s="46">
        <f t="shared" si="6"/>
        <v>48.2</v>
      </c>
      <c r="D24" s="46">
        <f t="shared" si="6"/>
        <v>50</v>
      </c>
      <c r="E24" s="46">
        <f t="shared" si="6"/>
        <v>16.2</v>
      </c>
      <c r="F24" s="46">
        <f t="shared" si="6"/>
        <v>18.4</v>
      </c>
      <c r="G24" s="46">
        <f t="shared" si="6"/>
        <v>40</v>
      </c>
      <c r="H24" s="46">
        <f t="shared" si="6"/>
        <v>33</v>
      </c>
      <c r="I24" s="46">
        <f t="shared" si="6"/>
        <v>25.9</v>
      </c>
      <c r="J24" s="46">
        <f t="shared" si="6"/>
        <v>39.4</v>
      </c>
      <c r="K24" s="47">
        <f t="shared" si="6"/>
        <v>10</v>
      </c>
      <c r="L24" s="47">
        <f t="shared" si="6"/>
        <v>30</v>
      </c>
      <c r="M24" s="20"/>
      <c r="N24" s="20">
        <f t="shared" si="1"/>
        <v>430.1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K25" s="50"/>
      <c r="L25" s="50"/>
      <c r="N25" s="17">
        <f t="shared" si="1"/>
        <v>0</v>
      </c>
    </row>
    <row r="26">
      <c r="A26" s="37">
        <v>45874.0</v>
      </c>
      <c r="B26" s="29"/>
      <c r="C26" s="29"/>
      <c r="D26" s="29"/>
      <c r="E26" s="29"/>
      <c r="F26" s="29"/>
      <c r="G26" s="29"/>
      <c r="H26" s="29"/>
      <c r="I26" s="29"/>
      <c r="J26" s="29"/>
      <c r="K26" s="50"/>
      <c r="L26" s="50"/>
      <c r="N26" s="17">
        <f t="shared" si="1"/>
        <v>0</v>
      </c>
    </row>
    <row r="27">
      <c r="A27" s="30" t="s">
        <v>14</v>
      </c>
      <c r="B27" s="30" t="s">
        <v>29</v>
      </c>
      <c r="C27" s="30" t="s">
        <v>30</v>
      </c>
      <c r="D27" s="30" t="s">
        <v>17</v>
      </c>
      <c r="E27" s="30" t="s">
        <v>31</v>
      </c>
      <c r="F27" s="30" t="s">
        <v>19</v>
      </c>
      <c r="G27" s="30" t="s">
        <v>20</v>
      </c>
      <c r="H27" s="30" t="s">
        <v>21</v>
      </c>
      <c r="I27" s="30" t="s">
        <v>22</v>
      </c>
      <c r="J27" s="30" t="s">
        <v>23</v>
      </c>
      <c r="K27" s="43" t="s">
        <v>24</v>
      </c>
      <c r="L27" s="44" t="s">
        <v>25</v>
      </c>
      <c r="N27" s="17">
        <f t="shared" si="1"/>
        <v>0</v>
      </c>
    </row>
    <row r="28">
      <c r="A28" s="31" t="s">
        <v>26</v>
      </c>
      <c r="B28" s="33">
        <v>82.0</v>
      </c>
      <c r="C28" s="33">
        <v>32.3</v>
      </c>
      <c r="D28" s="33">
        <v>0.0</v>
      </c>
      <c r="E28" s="33">
        <v>26.7</v>
      </c>
      <c r="F28" s="33">
        <v>19.9</v>
      </c>
      <c r="G28" s="33">
        <v>10.0</v>
      </c>
      <c r="H28" s="33">
        <v>25.0</v>
      </c>
      <c r="I28" s="33">
        <v>30.29</v>
      </c>
      <c r="J28" s="33">
        <v>23.4</v>
      </c>
      <c r="K28" s="45">
        <v>8.0</v>
      </c>
      <c r="L28" s="45">
        <v>20.0</v>
      </c>
      <c r="N28" s="17">
        <f t="shared" si="1"/>
        <v>277.59</v>
      </c>
    </row>
    <row r="29">
      <c r="A29" s="31" t="s">
        <v>27</v>
      </c>
      <c r="B29" s="33">
        <v>36.0</v>
      </c>
      <c r="C29" s="33">
        <v>23.1</v>
      </c>
      <c r="D29" s="33">
        <v>0.0</v>
      </c>
      <c r="E29" s="33">
        <v>10.0</v>
      </c>
      <c r="F29" s="33">
        <v>10.0</v>
      </c>
      <c r="G29" s="33">
        <v>15.0</v>
      </c>
      <c r="H29" s="33">
        <v>10.0</v>
      </c>
      <c r="I29" s="33">
        <v>10.0</v>
      </c>
      <c r="J29" s="33">
        <v>15.0</v>
      </c>
      <c r="K29" s="45">
        <v>0.0</v>
      </c>
      <c r="L29" s="45">
        <v>1.0</v>
      </c>
      <c r="N29" s="17">
        <f t="shared" si="1"/>
        <v>130.1</v>
      </c>
    </row>
    <row r="30">
      <c r="A30" s="34" t="s">
        <v>28</v>
      </c>
      <c r="B30" s="46">
        <f t="shared" ref="B30:L30" si="7">SUM(B28:B29)</f>
        <v>118</v>
      </c>
      <c r="C30" s="46">
        <f t="shared" si="7"/>
        <v>55.4</v>
      </c>
      <c r="D30" s="46">
        <f t="shared" si="7"/>
        <v>0</v>
      </c>
      <c r="E30" s="46">
        <f t="shared" si="7"/>
        <v>36.7</v>
      </c>
      <c r="F30" s="46">
        <f t="shared" si="7"/>
        <v>29.9</v>
      </c>
      <c r="G30" s="46">
        <f t="shared" si="7"/>
        <v>25</v>
      </c>
      <c r="H30" s="46">
        <f t="shared" si="7"/>
        <v>35</v>
      </c>
      <c r="I30" s="46">
        <f t="shared" si="7"/>
        <v>40.29</v>
      </c>
      <c r="J30" s="46">
        <f t="shared" si="7"/>
        <v>38.4</v>
      </c>
      <c r="K30" s="47">
        <f t="shared" si="7"/>
        <v>8</v>
      </c>
      <c r="L30" s="47">
        <f t="shared" si="7"/>
        <v>21</v>
      </c>
      <c r="M30" s="20"/>
      <c r="N30" s="20">
        <f t="shared" si="1"/>
        <v>407.69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K31" s="54"/>
      <c r="L31" s="54"/>
      <c r="N31" s="17">
        <f t="shared" si="1"/>
        <v>0</v>
      </c>
    </row>
    <row r="32">
      <c r="A32" s="37">
        <v>45875.0</v>
      </c>
      <c r="B32" s="29"/>
      <c r="C32" s="29"/>
      <c r="D32" s="29"/>
      <c r="E32" s="29"/>
      <c r="F32" s="29"/>
      <c r="G32" s="29"/>
      <c r="H32" s="29"/>
      <c r="I32" s="29"/>
      <c r="J32" s="29"/>
      <c r="K32" s="50"/>
      <c r="L32" s="50"/>
      <c r="N32" s="17">
        <f t="shared" si="1"/>
        <v>0</v>
      </c>
    </row>
    <row r="33">
      <c r="A33" s="30" t="s">
        <v>14</v>
      </c>
      <c r="B33" s="30" t="s">
        <v>29</v>
      </c>
      <c r="C33" s="30" t="s">
        <v>30</v>
      </c>
      <c r="D33" s="30" t="s">
        <v>17</v>
      </c>
      <c r="E33" s="30" t="s">
        <v>31</v>
      </c>
      <c r="F33" s="30" t="s">
        <v>19</v>
      </c>
      <c r="G33" s="30" t="s">
        <v>20</v>
      </c>
      <c r="H33" s="30" t="s">
        <v>21</v>
      </c>
      <c r="I33" s="30" t="s">
        <v>22</v>
      </c>
      <c r="J33" s="30" t="s">
        <v>23</v>
      </c>
      <c r="K33" s="44" t="s">
        <v>24</v>
      </c>
      <c r="L33" s="44" t="s">
        <v>25</v>
      </c>
      <c r="N33" s="17">
        <f t="shared" si="1"/>
        <v>0</v>
      </c>
    </row>
    <row r="34">
      <c r="A34" s="31" t="s">
        <v>26</v>
      </c>
      <c r="B34" s="33">
        <v>102.0</v>
      </c>
      <c r="C34" s="33">
        <v>30.0</v>
      </c>
      <c r="D34" s="33">
        <v>0.0</v>
      </c>
      <c r="E34" s="33">
        <v>17.4</v>
      </c>
      <c r="F34" s="33">
        <v>22.2</v>
      </c>
      <c r="G34" s="33">
        <v>17.0</v>
      </c>
      <c r="H34" s="33">
        <v>25.0</v>
      </c>
      <c r="I34" s="33">
        <v>35.4</v>
      </c>
      <c r="J34" s="33">
        <v>26.9</v>
      </c>
      <c r="K34" s="45">
        <v>25.0</v>
      </c>
      <c r="L34" s="55">
        <v>80.0</v>
      </c>
      <c r="N34" s="17">
        <f t="shared" si="1"/>
        <v>380.9</v>
      </c>
    </row>
    <row r="35">
      <c r="A35" s="31" t="s">
        <v>27</v>
      </c>
      <c r="B35" s="33">
        <v>46.0</v>
      </c>
      <c r="C35" s="33">
        <v>20.1</v>
      </c>
      <c r="D35" s="33">
        <v>0.0</v>
      </c>
      <c r="E35" s="33">
        <v>0.0</v>
      </c>
      <c r="F35" s="33">
        <v>0.0</v>
      </c>
      <c r="G35" s="33">
        <v>10.0</v>
      </c>
      <c r="H35" s="33">
        <v>10.0</v>
      </c>
      <c r="I35" s="58"/>
      <c r="J35" s="58"/>
      <c r="K35" s="45">
        <v>2.0</v>
      </c>
      <c r="L35" s="45">
        <v>0.0</v>
      </c>
      <c r="N35" s="17">
        <f t="shared" si="1"/>
        <v>88.1</v>
      </c>
    </row>
    <row r="36">
      <c r="A36" s="34" t="s">
        <v>28</v>
      </c>
      <c r="B36" s="46">
        <f t="shared" ref="B36:L36" si="8">SUM(B34:B35)</f>
        <v>148</v>
      </c>
      <c r="C36" s="46">
        <f t="shared" si="8"/>
        <v>50.1</v>
      </c>
      <c r="D36" s="46">
        <f t="shared" si="8"/>
        <v>0</v>
      </c>
      <c r="E36" s="46">
        <f t="shared" si="8"/>
        <v>17.4</v>
      </c>
      <c r="F36" s="46">
        <f t="shared" si="8"/>
        <v>22.2</v>
      </c>
      <c r="G36" s="46">
        <f t="shared" si="8"/>
        <v>27</v>
      </c>
      <c r="H36" s="46">
        <f t="shared" si="8"/>
        <v>35</v>
      </c>
      <c r="I36" s="46">
        <f t="shared" si="8"/>
        <v>35.4</v>
      </c>
      <c r="J36" s="46">
        <f t="shared" si="8"/>
        <v>26.9</v>
      </c>
      <c r="K36" s="47">
        <f t="shared" si="8"/>
        <v>27</v>
      </c>
      <c r="L36" s="47">
        <f t="shared" si="8"/>
        <v>80</v>
      </c>
      <c r="M36" s="20"/>
      <c r="N36" s="20">
        <f t="shared" si="1"/>
        <v>469</v>
      </c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K37" s="50"/>
      <c r="L37" s="50"/>
      <c r="N37" s="17">
        <f t="shared" si="1"/>
        <v>0</v>
      </c>
    </row>
    <row r="38">
      <c r="A38" s="37">
        <v>45876.0</v>
      </c>
      <c r="B38" s="29"/>
      <c r="C38" s="29"/>
      <c r="D38" s="29"/>
      <c r="E38" s="29"/>
      <c r="F38" s="29"/>
      <c r="G38" s="29"/>
      <c r="H38" s="29"/>
      <c r="I38" s="29"/>
      <c r="J38" s="29"/>
      <c r="K38" s="50"/>
      <c r="L38" s="50"/>
      <c r="N38" s="17">
        <f t="shared" si="1"/>
        <v>0</v>
      </c>
    </row>
    <row r="39">
      <c r="A39" s="30" t="s">
        <v>14</v>
      </c>
      <c r="B39" s="30" t="s">
        <v>29</v>
      </c>
      <c r="C39" s="30" t="s">
        <v>30</v>
      </c>
      <c r="D39" s="30" t="s">
        <v>17</v>
      </c>
      <c r="E39" s="30" t="s">
        <v>31</v>
      </c>
      <c r="F39" s="30" t="s">
        <v>19</v>
      </c>
      <c r="G39" s="30" t="s">
        <v>20</v>
      </c>
      <c r="H39" s="30" t="s">
        <v>21</v>
      </c>
      <c r="I39" s="30" t="s">
        <v>22</v>
      </c>
      <c r="J39" s="30" t="s">
        <v>23</v>
      </c>
      <c r="K39" s="44" t="s">
        <v>24</v>
      </c>
      <c r="L39" s="44" t="s">
        <v>25</v>
      </c>
      <c r="N39" s="17">
        <f t="shared" si="1"/>
        <v>0</v>
      </c>
    </row>
    <row r="40">
      <c r="A40" s="31" t="s">
        <v>26</v>
      </c>
      <c r="B40" s="33">
        <v>67.0</v>
      </c>
      <c r="C40" s="33">
        <v>26.0</v>
      </c>
      <c r="D40" s="33">
        <v>40.0</v>
      </c>
      <c r="E40" s="33">
        <v>17.0</v>
      </c>
      <c r="F40" s="33">
        <v>18.0</v>
      </c>
      <c r="G40" s="33">
        <v>7.0</v>
      </c>
      <c r="H40" s="33">
        <v>18.0</v>
      </c>
      <c r="I40" s="33">
        <v>20.0</v>
      </c>
      <c r="J40" s="33">
        <v>27.0</v>
      </c>
      <c r="K40" s="45">
        <v>8.0</v>
      </c>
      <c r="L40" s="45">
        <v>70.0</v>
      </c>
      <c r="N40" s="17">
        <f t="shared" si="1"/>
        <v>318</v>
      </c>
    </row>
    <row r="41">
      <c r="A41" s="31" t="s">
        <v>27</v>
      </c>
      <c r="B41" s="33">
        <v>28.0</v>
      </c>
      <c r="C41" s="33">
        <v>14.1</v>
      </c>
      <c r="D41" s="33">
        <v>14.0</v>
      </c>
      <c r="E41" s="33">
        <v>10.0</v>
      </c>
      <c r="F41" s="33">
        <v>9.0</v>
      </c>
      <c r="G41" s="33">
        <v>18.0</v>
      </c>
      <c r="H41" s="33">
        <v>8.0</v>
      </c>
      <c r="I41" s="33">
        <v>5.0</v>
      </c>
      <c r="J41" s="33">
        <v>4.0</v>
      </c>
      <c r="K41" s="45">
        <v>0.0</v>
      </c>
      <c r="L41" s="45">
        <v>1.0</v>
      </c>
      <c r="N41" s="17">
        <f t="shared" si="1"/>
        <v>111.1</v>
      </c>
    </row>
    <row r="42">
      <c r="A42" s="34" t="s">
        <v>28</v>
      </c>
      <c r="B42" s="46">
        <f t="shared" ref="B42:D42" si="9">SUM(B40:B41)</f>
        <v>95</v>
      </c>
      <c r="C42" s="46">
        <f t="shared" si="9"/>
        <v>40.1</v>
      </c>
      <c r="D42" s="46">
        <f t="shared" si="9"/>
        <v>54</v>
      </c>
      <c r="E42" s="34">
        <v>0.0</v>
      </c>
      <c r="F42" s="34">
        <v>0.0</v>
      </c>
      <c r="G42" s="46">
        <f t="shared" ref="G42:H42" si="10">SUM(G40:G41)</f>
        <v>25</v>
      </c>
      <c r="H42" s="46">
        <f t="shared" si="10"/>
        <v>26</v>
      </c>
      <c r="I42" s="34">
        <v>0.0</v>
      </c>
      <c r="J42" s="34">
        <v>0.0</v>
      </c>
      <c r="K42" s="47">
        <f t="shared" ref="K42:L42" si="11">SUM(K40:K41)</f>
        <v>8</v>
      </c>
      <c r="L42" s="47">
        <f t="shared" si="11"/>
        <v>71</v>
      </c>
      <c r="M42" s="20"/>
      <c r="N42" s="20">
        <f t="shared" si="1"/>
        <v>319.1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K43" s="50"/>
      <c r="L43" s="50"/>
      <c r="N43" s="17">
        <f t="shared" si="1"/>
        <v>0</v>
      </c>
    </row>
    <row r="44">
      <c r="A44" s="37">
        <v>45877.0</v>
      </c>
      <c r="B44" s="29"/>
      <c r="C44" s="29"/>
      <c r="D44" s="29"/>
      <c r="E44" s="29"/>
      <c r="F44" s="29"/>
      <c r="G44" s="29"/>
      <c r="H44" s="29"/>
      <c r="I44" s="29"/>
      <c r="J44" s="29"/>
      <c r="K44" s="50"/>
      <c r="L44" s="50"/>
      <c r="N44" s="17">
        <f t="shared" si="1"/>
        <v>0</v>
      </c>
    </row>
    <row r="45">
      <c r="A45" s="30" t="s">
        <v>14</v>
      </c>
      <c r="B45" s="30" t="s">
        <v>29</v>
      </c>
      <c r="C45" s="30" t="s">
        <v>30</v>
      </c>
      <c r="D45" s="30" t="s">
        <v>17</v>
      </c>
      <c r="E45" s="30" t="s">
        <v>31</v>
      </c>
      <c r="F45" s="30" t="s">
        <v>19</v>
      </c>
      <c r="G45" s="30" t="s">
        <v>20</v>
      </c>
      <c r="H45" s="30" t="s">
        <v>21</v>
      </c>
      <c r="I45" s="30" t="s">
        <v>22</v>
      </c>
      <c r="J45" s="30" t="s">
        <v>23</v>
      </c>
      <c r="K45" s="44" t="s">
        <v>24</v>
      </c>
      <c r="L45" s="44" t="s">
        <v>25</v>
      </c>
      <c r="N45" s="17">
        <f t="shared" si="1"/>
        <v>0</v>
      </c>
    </row>
    <row r="46">
      <c r="A46" s="31" t="s">
        <v>26</v>
      </c>
      <c r="B46" s="33">
        <v>79.0</v>
      </c>
      <c r="C46" s="33">
        <v>21.4</v>
      </c>
      <c r="D46" s="33">
        <v>0.0</v>
      </c>
      <c r="E46" s="33">
        <v>22.6</v>
      </c>
      <c r="F46" s="33">
        <v>29.4</v>
      </c>
      <c r="G46" s="33">
        <v>18.0</v>
      </c>
      <c r="H46" s="33">
        <v>26.0</v>
      </c>
      <c r="I46" s="33">
        <v>17.9</v>
      </c>
      <c r="J46" s="33">
        <v>33.1</v>
      </c>
      <c r="K46" s="45">
        <v>24.0</v>
      </c>
      <c r="L46" s="45">
        <v>86.0</v>
      </c>
      <c r="N46" s="17">
        <f t="shared" si="1"/>
        <v>357.4</v>
      </c>
    </row>
    <row r="47">
      <c r="A47" s="31" t="s">
        <v>27</v>
      </c>
      <c r="B47" s="33">
        <v>45.0</v>
      </c>
      <c r="C47" s="33">
        <v>18.1</v>
      </c>
      <c r="D47" s="33">
        <v>0.0</v>
      </c>
      <c r="E47" s="33">
        <v>0.0</v>
      </c>
      <c r="F47" s="33">
        <v>0.0</v>
      </c>
      <c r="G47" s="33">
        <v>25.0</v>
      </c>
      <c r="H47" s="33">
        <v>9.0</v>
      </c>
      <c r="I47" s="33">
        <v>0.0</v>
      </c>
      <c r="J47" s="33">
        <v>0.0</v>
      </c>
      <c r="K47" s="45">
        <v>2.0</v>
      </c>
      <c r="L47" s="45">
        <v>0.0</v>
      </c>
      <c r="N47" s="17">
        <f t="shared" si="1"/>
        <v>99.1</v>
      </c>
    </row>
    <row r="48">
      <c r="A48" s="34" t="s">
        <v>28</v>
      </c>
      <c r="B48" s="46">
        <f t="shared" ref="B48:L48" si="12">SUM(B46:B47)</f>
        <v>124</v>
      </c>
      <c r="C48" s="46">
        <f t="shared" si="12"/>
        <v>39.5</v>
      </c>
      <c r="D48" s="46">
        <f t="shared" si="12"/>
        <v>0</v>
      </c>
      <c r="E48" s="46">
        <f t="shared" si="12"/>
        <v>22.6</v>
      </c>
      <c r="F48" s="46">
        <f t="shared" si="12"/>
        <v>29.4</v>
      </c>
      <c r="G48" s="46">
        <f t="shared" si="12"/>
        <v>43</v>
      </c>
      <c r="H48" s="46">
        <f t="shared" si="12"/>
        <v>35</v>
      </c>
      <c r="I48" s="46">
        <f t="shared" si="12"/>
        <v>17.9</v>
      </c>
      <c r="J48" s="46">
        <f t="shared" si="12"/>
        <v>33.1</v>
      </c>
      <c r="K48" s="47">
        <f t="shared" si="12"/>
        <v>26</v>
      </c>
      <c r="L48" s="47">
        <f t="shared" si="12"/>
        <v>86</v>
      </c>
      <c r="M48" s="20"/>
      <c r="N48" s="20">
        <f t="shared" si="1"/>
        <v>456.5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K49" s="50"/>
      <c r="L49" s="50"/>
      <c r="N49" s="17">
        <f t="shared" si="1"/>
        <v>0</v>
      </c>
    </row>
    <row r="50">
      <c r="A50" s="37">
        <v>45878.0</v>
      </c>
      <c r="B50" s="29"/>
      <c r="C50" s="29"/>
      <c r="D50" s="29"/>
      <c r="E50" s="29"/>
      <c r="F50" s="29"/>
      <c r="G50" s="29"/>
      <c r="H50" s="29"/>
      <c r="I50" s="29"/>
      <c r="J50" s="29"/>
      <c r="K50" s="50"/>
      <c r="L50" s="50"/>
      <c r="N50" s="17">
        <f t="shared" si="1"/>
        <v>0</v>
      </c>
    </row>
    <row r="51">
      <c r="A51" s="30" t="s">
        <v>14</v>
      </c>
      <c r="B51" s="30" t="s">
        <v>29</v>
      </c>
      <c r="C51" s="30" t="s">
        <v>30</v>
      </c>
      <c r="D51" s="30" t="s">
        <v>17</v>
      </c>
      <c r="E51" s="30" t="s">
        <v>31</v>
      </c>
      <c r="F51" s="30" t="s">
        <v>19</v>
      </c>
      <c r="G51" s="30" t="s">
        <v>20</v>
      </c>
      <c r="H51" s="30" t="s">
        <v>21</v>
      </c>
      <c r="I51" s="30" t="s">
        <v>22</v>
      </c>
      <c r="J51" s="30" t="s">
        <v>23</v>
      </c>
      <c r="K51" s="44" t="s">
        <v>24</v>
      </c>
      <c r="L51" s="44" t="s">
        <v>25</v>
      </c>
      <c r="N51" s="17">
        <f t="shared" si="1"/>
        <v>0</v>
      </c>
    </row>
    <row r="52">
      <c r="A52" s="31" t="s">
        <v>26</v>
      </c>
      <c r="B52" s="33">
        <v>50.0</v>
      </c>
      <c r="C52" s="33">
        <v>35.0</v>
      </c>
      <c r="D52" s="33">
        <v>0.0</v>
      </c>
      <c r="E52" s="33">
        <v>22.6</v>
      </c>
      <c r="F52" s="33">
        <v>29.4</v>
      </c>
      <c r="G52" s="33">
        <v>10.0</v>
      </c>
      <c r="H52" s="33">
        <v>26.0</v>
      </c>
      <c r="I52" s="33">
        <v>17.9</v>
      </c>
      <c r="J52" s="33">
        <v>33.1</v>
      </c>
      <c r="K52" s="45">
        <v>27.0</v>
      </c>
      <c r="L52" s="45">
        <v>80.0</v>
      </c>
      <c r="N52" s="17">
        <f t="shared" si="1"/>
        <v>331</v>
      </c>
    </row>
    <row r="53">
      <c r="A53" s="31" t="s">
        <v>27</v>
      </c>
      <c r="B53" s="33">
        <v>31.0</v>
      </c>
      <c r="C53" s="33">
        <v>18.0</v>
      </c>
      <c r="D53" s="33">
        <v>0.0</v>
      </c>
      <c r="E53" s="33">
        <v>0.0</v>
      </c>
      <c r="F53" s="33">
        <v>0.0</v>
      </c>
      <c r="G53" s="33">
        <v>26.0</v>
      </c>
      <c r="H53" s="33">
        <v>9.0</v>
      </c>
      <c r="I53" s="33">
        <v>0.0</v>
      </c>
      <c r="J53" s="33">
        <v>0.0</v>
      </c>
      <c r="K53" s="45">
        <v>2.0</v>
      </c>
      <c r="L53" s="45">
        <v>0.0</v>
      </c>
      <c r="N53" s="17">
        <f t="shared" si="1"/>
        <v>86</v>
      </c>
    </row>
    <row r="54">
      <c r="A54" s="34" t="s">
        <v>28</v>
      </c>
      <c r="B54" s="46">
        <f t="shared" ref="B54:L54" si="13">SUM(B52:B53)</f>
        <v>81</v>
      </c>
      <c r="C54" s="46">
        <f t="shared" si="13"/>
        <v>53</v>
      </c>
      <c r="D54" s="46">
        <f t="shared" si="13"/>
        <v>0</v>
      </c>
      <c r="E54" s="46">
        <f t="shared" si="13"/>
        <v>22.6</v>
      </c>
      <c r="F54" s="46">
        <f t="shared" si="13"/>
        <v>29.4</v>
      </c>
      <c r="G54" s="46">
        <f t="shared" si="13"/>
        <v>36</v>
      </c>
      <c r="H54" s="46">
        <f t="shared" si="13"/>
        <v>35</v>
      </c>
      <c r="I54" s="46">
        <f t="shared" si="13"/>
        <v>17.9</v>
      </c>
      <c r="J54" s="46">
        <f t="shared" si="13"/>
        <v>33.1</v>
      </c>
      <c r="K54" s="47">
        <f t="shared" si="13"/>
        <v>29</v>
      </c>
      <c r="L54" s="47">
        <f t="shared" si="13"/>
        <v>80</v>
      </c>
      <c r="M54" s="20"/>
      <c r="N54" s="20">
        <f t="shared" si="1"/>
        <v>417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K55" s="50"/>
      <c r="L55" s="50"/>
      <c r="N55" s="17">
        <f t="shared" si="1"/>
        <v>0</v>
      </c>
    </row>
    <row r="56">
      <c r="A56" s="37">
        <v>45879.0</v>
      </c>
      <c r="B56" s="29"/>
      <c r="C56" s="29"/>
      <c r="D56" s="29"/>
      <c r="E56" s="29"/>
      <c r="F56" s="29"/>
      <c r="G56" s="29"/>
      <c r="H56" s="29"/>
      <c r="I56" s="29"/>
      <c r="J56" s="29"/>
      <c r="K56" s="50"/>
      <c r="L56" s="50"/>
      <c r="N56" s="17">
        <f t="shared" si="1"/>
        <v>0</v>
      </c>
    </row>
    <row r="57">
      <c r="A57" s="30" t="s">
        <v>14</v>
      </c>
      <c r="B57" s="30" t="s">
        <v>29</v>
      </c>
      <c r="C57" s="30" t="s">
        <v>30</v>
      </c>
      <c r="D57" s="30" t="s">
        <v>17</v>
      </c>
      <c r="E57" s="30" t="s">
        <v>31</v>
      </c>
      <c r="F57" s="30" t="s">
        <v>19</v>
      </c>
      <c r="G57" s="30" t="s">
        <v>20</v>
      </c>
      <c r="H57" s="30" t="s">
        <v>21</v>
      </c>
      <c r="I57" s="30" t="s">
        <v>22</v>
      </c>
      <c r="J57" s="30" t="s">
        <v>23</v>
      </c>
      <c r="K57" s="44" t="s">
        <v>24</v>
      </c>
      <c r="L57" s="44" t="s">
        <v>25</v>
      </c>
      <c r="N57" s="17">
        <f t="shared" si="1"/>
        <v>0</v>
      </c>
    </row>
    <row r="58">
      <c r="A58" s="31" t="s">
        <v>26</v>
      </c>
      <c r="B58" s="33">
        <v>44.0</v>
      </c>
      <c r="C58" s="33">
        <v>38.0</v>
      </c>
      <c r="D58" s="33">
        <v>55.0</v>
      </c>
      <c r="E58" s="33">
        <v>19.9</v>
      </c>
      <c r="F58" s="33">
        <v>23.6</v>
      </c>
      <c r="G58" s="33">
        <v>25.0</v>
      </c>
      <c r="H58" s="33">
        <v>19.0</v>
      </c>
      <c r="I58" s="33">
        <v>20.7</v>
      </c>
      <c r="J58" s="33">
        <v>29.5</v>
      </c>
      <c r="K58" s="45">
        <v>20.0</v>
      </c>
      <c r="L58" s="45">
        <v>79.0</v>
      </c>
      <c r="N58" s="17">
        <f t="shared" si="1"/>
        <v>373.7</v>
      </c>
    </row>
    <row r="59">
      <c r="A59" s="31" t="s">
        <v>27</v>
      </c>
      <c r="B59" s="33">
        <v>14.0</v>
      </c>
      <c r="C59" s="33">
        <v>20.0</v>
      </c>
      <c r="D59" s="33">
        <v>30.0</v>
      </c>
      <c r="E59" s="33">
        <v>0.0</v>
      </c>
      <c r="F59" s="33">
        <v>0.0</v>
      </c>
      <c r="G59" s="33">
        <v>12.0</v>
      </c>
      <c r="H59" s="33">
        <v>10.0</v>
      </c>
      <c r="I59" s="33">
        <v>0.0</v>
      </c>
      <c r="J59" s="33">
        <v>0.0</v>
      </c>
      <c r="K59" s="45">
        <v>1.0</v>
      </c>
      <c r="L59" s="45">
        <v>0.0</v>
      </c>
      <c r="N59" s="17">
        <f t="shared" si="1"/>
        <v>87</v>
      </c>
    </row>
    <row r="60">
      <c r="A60" s="34" t="s">
        <v>28</v>
      </c>
      <c r="B60" s="46">
        <f t="shared" ref="B60:L60" si="14">SUM(B58:B59)</f>
        <v>58</v>
      </c>
      <c r="C60" s="46">
        <f t="shared" si="14"/>
        <v>58</v>
      </c>
      <c r="D60" s="46">
        <f t="shared" si="14"/>
        <v>85</v>
      </c>
      <c r="E60" s="46">
        <f t="shared" si="14"/>
        <v>19.9</v>
      </c>
      <c r="F60" s="46">
        <f t="shared" si="14"/>
        <v>23.6</v>
      </c>
      <c r="G60" s="46">
        <f t="shared" si="14"/>
        <v>37</v>
      </c>
      <c r="H60" s="46">
        <f t="shared" si="14"/>
        <v>29</v>
      </c>
      <c r="I60" s="46">
        <f t="shared" si="14"/>
        <v>20.7</v>
      </c>
      <c r="J60" s="46">
        <f t="shared" si="14"/>
        <v>29.5</v>
      </c>
      <c r="K60" s="47">
        <f t="shared" si="14"/>
        <v>21</v>
      </c>
      <c r="L60" s="47">
        <f t="shared" si="14"/>
        <v>79</v>
      </c>
      <c r="M60" s="20"/>
      <c r="N60" s="20">
        <f t="shared" si="1"/>
        <v>460.7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K61" s="50"/>
      <c r="L61" s="50"/>
      <c r="N61" s="17">
        <f t="shared" si="1"/>
        <v>0</v>
      </c>
    </row>
    <row r="62">
      <c r="A62" s="37">
        <v>45880.0</v>
      </c>
      <c r="B62" s="29"/>
      <c r="C62" s="29"/>
      <c r="D62" s="29"/>
      <c r="E62" s="29"/>
      <c r="F62" s="29"/>
      <c r="G62" s="29"/>
      <c r="H62" s="29"/>
      <c r="I62" s="29"/>
      <c r="J62" s="29"/>
      <c r="K62" s="50"/>
      <c r="L62" s="50"/>
      <c r="N62" s="17">
        <f t="shared" si="1"/>
        <v>0</v>
      </c>
    </row>
    <row r="63">
      <c r="A63" s="30" t="s">
        <v>14</v>
      </c>
      <c r="B63" s="30" t="s">
        <v>29</v>
      </c>
      <c r="C63" s="30" t="s">
        <v>30</v>
      </c>
      <c r="D63" s="30" t="s">
        <v>17</v>
      </c>
      <c r="E63" s="30" t="s">
        <v>31</v>
      </c>
      <c r="F63" s="30" t="s">
        <v>19</v>
      </c>
      <c r="G63" s="30" t="s">
        <v>20</v>
      </c>
      <c r="H63" s="30" t="s">
        <v>21</v>
      </c>
      <c r="I63" s="30" t="s">
        <v>22</v>
      </c>
      <c r="J63" s="30" t="s">
        <v>23</v>
      </c>
      <c r="K63" s="44" t="s">
        <v>24</v>
      </c>
      <c r="L63" s="44" t="s">
        <v>25</v>
      </c>
      <c r="N63" s="17">
        <f t="shared" si="1"/>
        <v>0</v>
      </c>
    </row>
    <row r="64">
      <c r="A64" s="31" t="s">
        <v>26</v>
      </c>
      <c r="B64" s="33">
        <v>92.0</v>
      </c>
      <c r="C64" s="33">
        <v>29.0</v>
      </c>
      <c r="D64" s="33">
        <v>0.0</v>
      </c>
      <c r="E64" s="33">
        <v>14.0</v>
      </c>
      <c r="F64" s="33">
        <v>19.5</v>
      </c>
      <c r="G64" s="33">
        <v>20.0</v>
      </c>
      <c r="H64" s="33">
        <v>26.0</v>
      </c>
      <c r="I64" s="33">
        <v>24.3</v>
      </c>
      <c r="J64" s="33">
        <v>27.4</v>
      </c>
      <c r="K64" s="45">
        <v>17.0</v>
      </c>
      <c r="L64" s="45">
        <v>80.0</v>
      </c>
      <c r="N64" s="17">
        <f t="shared" si="1"/>
        <v>349.2</v>
      </c>
    </row>
    <row r="65">
      <c r="A65" s="31" t="s">
        <v>27</v>
      </c>
      <c r="B65" s="33">
        <v>34.0</v>
      </c>
      <c r="C65" s="33">
        <v>11.0</v>
      </c>
      <c r="D65" s="33">
        <v>0.0</v>
      </c>
      <c r="E65" s="33">
        <v>0.0</v>
      </c>
      <c r="F65" s="33">
        <v>0.0</v>
      </c>
      <c r="G65" s="33">
        <v>10.0</v>
      </c>
      <c r="H65" s="33">
        <v>8.0</v>
      </c>
      <c r="I65" s="33">
        <v>0.0</v>
      </c>
      <c r="J65" s="33">
        <v>0.0</v>
      </c>
      <c r="K65" s="45">
        <v>2.0</v>
      </c>
      <c r="L65" s="45">
        <v>0.0</v>
      </c>
      <c r="N65" s="17">
        <f t="shared" si="1"/>
        <v>65</v>
      </c>
    </row>
    <row r="66">
      <c r="A66" s="34" t="s">
        <v>28</v>
      </c>
      <c r="B66" s="46">
        <f t="shared" ref="B66:L66" si="15">SUM(B64:B65)</f>
        <v>126</v>
      </c>
      <c r="C66" s="46">
        <f t="shared" si="15"/>
        <v>40</v>
      </c>
      <c r="D66" s="46">
        <f t="shared" si="15"/>
        <v>0</v>
      </c>
      <c r="E66" s="46">
        <f t="shared" si="15"/>
        <v>14</v>
      </c>
      <c r="F66" s="46">
        <f t="shared" si="15"/>
        <v>19.5</v>
      </c>
      <c r="G66" s="46">
        <f t="shared" si="15"/>
        <v>30</v>
      </c>
      <c r="H66" s="46">
        <f t="shared" si="15"/>
        <v>34</v>
      </c>
      <c r="I66" s="46">
        <f t="shared" si="15"/>
        <v>24.3</v>
      </c>
      <c r="J66" s="46">
        <f t="shared" si="15"/>
        <v>27.4</v>
      </c>
      <c r="K66" s="47">
        <f t="shared" si="15"/>
        <v>19</v>
      </c>
      <c r="L66" s="47">
        <f t="shared" si="15"/>
        <v>80</v>
      </c>
      <c r="M66" s="20"/>
      <c r="N66" s="20">
        <f t="shared" si="1"/>
        <v>414.2</v>
      </c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K67" s="50"/>
      <c r="L67" s="50"/>
      <c r="N67" s="17">
        <f t="shared" si="1"/>
        <v>0</v>
      </c>
    </row>
    <row r="68">
      <c r="A68" s="37">
        <v>45881.0</v>
      </c>
      <c r="B68" s="29"/>
      <c r="C68" s="29"/>
      <c r="D68" s="29"/>
      <c r="E68" s="29"/>
      <c r="F68" s="29"/>
      <c r="G68" s="29"/>
      <c r="H68" s="29"/>
      <c r="I68" s="29"/>
      <c r="J68" s="29"/>
      <c r="K68" s="50"/>
      <c r="L68" s="50"/>
      <c r="N68" s="17">
        <f t="shared" si="1"/>
        <v>0</v>
      </c>
    </row>
    <row r="69">
      <c r="A69" s="30" t="s">
        <v>14</v>
      </c>
      <c r="B69" s="30" t="s">
        <v>29</v>
      </c>
      <c r="C69" s="30" t="s">
        <v>30</v>
      </c>
      <c r="D69" s="30" t="s">
        <v>17</v>
      </c>
      <c r="E69" s="30" t="s">
        <v>31</v>
      </c>
      <c r="F69" s="30" t="s">
        <v>19</v>
      </c>
      <c r="G69" s="30" t="s">
        <v>20</v>
      </c>
      <c r="H69" s="30" t="s">
        <v>21</v>
      </c>
      <c r="I69" s="30" t="s">
        <v>22</v>
      </c>
      <c r="J69" s="30" t="s">
        <v>23</v>
      </c>
      <c r="K69" s="44" t="s">
        <v>24</v>
      </c>
      <c r="L69" s="44" t="s">
        <v>25</v>
      </c>
      <c r="N69" s="17">
        <f t="shared" si="1"/>
        <v>0</v>
      </c>
    </row>
    <row r="70">
      <c r="A70" s="31" t="s">
        <v>26</v>
      </c>
      <c r="B70" s="33">
        <v>107.0</v>
      </c>
      <c r="C70" s="33">
        <v>21.0</v>
      </c>
      <c r="D70" s="33">
        <v>30.0</v>
      </c>
      <c r="E70" s="33">
        <v>13.3</v>
      </c>
      <c r="F70" s="33">
        <v>26.5</v>
      </c>
      <c r="G70" s="21">
        <v>22.0</v>
      </c>
      <c r="H70" s="21">
        <v>11.8</v>
      </c>
      <c r="I70" s="33">
        <v>27.0</v>
      </c>
      <c r="J70" s="33">
        <v>30.5</v>
      </c>
      <c r="K70" s="45">
        <v>19.0</v>
      </c>
      <c r="L70" s="45">
        <v>89.0</v>
      </c>
      <c r="N70" s="17">
        <f t="shared" si="1"/>
        <v>397.1</v>
      </c>
    </row>
    <row r="71">
      <c r="A71" s="31" t="s">
        <v>27</v>
      </c>
      <c r="B71" s="33">
        <v>51.1</v>
      </c>
      <c r="C71" s="33">
        <v>17.1</v>
      </c>
      <c r="D71" s="33">
        <v>40.0</v>
      </c>
      <c r="E71" s="33">
        <v>0.0</v>
      </c>
      <c r="F71" s="33">
        <v>0.0</v>
      </c>
      <c r="G71" s="33">
        <v>10.9</v>
      </c>
      <c r="H71" s="33">
        <v>8.0</v>
      </c>
      <c r="I71" s="33">
        <v>0.0</v>
      </c>
      <c r="J71" s="33">
        <v>0.0</v>
      </c>
      <c r="K71" s="45">
        <v>2.0</v>
      </c>
      <c r="L71" s="45">
        <v>0.0</v>
      </c>
      <c r="N71" s="17">
        <f t="shared" si="1"/>
        <v>129.1</v>
      </c>
    </row>
    <row r="72">
      <c r="A72" s="34" t="s">
        <v>28</v>
      </c>
      <c r="B72" s="46">
        <f t="shared" ref="B72:L72" si="16">SUM(B70:B71)</f>
        <v>158.1</v>
      </c>
      <c r="C72" s="46">
        <f t="shared" si="16"/>
        <v>38.1</v>
      </c>
      <c r="D72" s="46">
        <f t="shared" si="16"/>
        <v>70</v>
      </c>
      <c r="E72" s="46">
        <f t="shared" si="16"/>
        <v>13.3</v>
      </c>
      <c r="F72" s="46">
        <f t="shared" si="16"/>
        <v>26.5</v>
      </c>
      <c r="G72" s="46">
        <f t="shared" si="16"/>
        <v>32.9</v>
      </c>
      <c r="H72" s="46">
        <f t="shared" si="16"/>
        <v>19.8</v>
      </c>
      <c r="I72" s="46">
        <f t="shared" si="16"/>
        <v>27</v>
      </c>
      <c r="J72" s="46">
        <f t="shared" si="16"/>
        <v>30.5</v>
      </c>
      <c r="K72" s="47">
        <f t="shared" si="16"/>
        <v>21</v>
      </c>
      <c r="L72" s="47">
        <f t="shared" si="16"/>
        <v>89</v>
      </c>
      <c r="M72" s="20"/>
      <c r="N72" s="20">
        <f t="shared" si="1"/>
        <v>526.2</v>
      </c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K73" s="50"/>
      <c r="L73" s="50"/>
      <c r="N73" s="17">
        <f t="shared" si="1"/>
        <v>0</v>
      </c>
    </row>
    <row r="74">
      <c r="A74" s="37">
        <v>45882.0</v>
      </c>
      <c r="B74" s="29"/>
      <c r="C74" s="29"/>
      <c r="D74" s="29"/>
      <c r="E74" s="29"/>
      <c r="F74" s="29"/>
      <c r="G74" s="29"/>
      <c r="H74" s="29"/>
      <c r="I74" s="29"/>
      <c r="J74" s="29"/>
      <c r="K74" s="50"/>
      <c r="L74" s="50"/>
      <c r="N74" s="17">
        <f t="shared" si="1"/>
        <v>0</v>
      </c>
    </row>
    <row r="75">
      <c r="A75" s="30" t="s">
        <v>14</v>
      </c>
      <c r="B75" s="30" t="s">
        <v>29</v>
      </c>
      <c r="C75" s="30" t="s">
        <v>30</v>
      </c>
      <c r="D75" s="30" t="s">
        <v>17</v>
      </c>
      <c r="E75" s="30" t="s">
        <v>31</v>
      </c>
      <c r="F75" s="30" t="s">
        <v>19</v>
      </c>
      <c r="G75" s="30" t="s">
        <v>20</v>
      </c>
      <c r="H75" s="30" t="s">
        <v>21</v>
      </c>
      <c r="I75" s="30" t="s">
        <v>22</v>
      </c>
      <c r="J75" s="30" t="s">
        <v>23</v>
      </c>
      <c r="K75" s="44" t="s">
        <v>24</v>
      </c>
      <c r="L75" s="44" t="s">
        <v>25</v>
      </c>
      <c r="N75" s="17">
        <f t="shared" si="1"/>
        <v>0</v>
      </c>
    </row>
    <row r="76">
      <c r="A76" s="31" t="s">
        <v>26</v>
      </c>
      <c r="B76" s="33">
        <v>24.0</v>
      </c>
      <c r="C76" s="33">
        <v>26.1</v>
      </c>
      <c r="D76" s="33">
        <v>0.0</v>
      </c>
      <c r="E76" s="33">
        <v>18.3</v>
      </c>
      <c r="F76" s="33">
        <v>26.5</v>
      </c>
      <c r="G76" s="33">
        <v>19.0</v>
      </c>
      <c r="H76" s="21">
        <v>20.0</v>
      </c>
      <c r="I76" s="33">
        <v>24.0</v>
      </c>
      <c r="J76" s="33">
        <v>31.2</v>
      </c>
      <c r="K76" s="45">
        <v>17.0</v>
      </c>
      <c r="L76" s="45">
        <v>87.0</v>
      </c>
      <c r="N76" s="17">
        <f t="shared" si="1"/>
        <v>293.1</v>
      </c>
    </row>
    <row r="77">
      <c r="A77" s="31" t="s">
        <v>27</v>
      </c>
      <c r="B77" s="33">
        <v>10.0</v>
      </c>
      <c r="C77" s="33">
        <v>19.0</v>
      </c>
      <c r="D77" s="33">
        <v>0.0</v>
      </c>
      <c r="E77" s="33">
        <v>0.0</v>
      </c>
      <c r="F77" s="33">
        <v>0.0</v>
      </c>
      <c r="G77" s="33">
        <v>15.0</v>
      </c>
      <c r="H77" s="33">
        <v>16.0</v>
      </c>
      <c r="I77" s="58"/>
      <c r="J77" s="58"/>
      <c r="K77" s="45">
        <v>2.0</v>
      </c>
      <c r="L77" s="45">
        <v>0.0</v>
      </c>
      <c r="N77" s="17">
        <f t="shared" si="1"/>
        <v>62</v>
      </c>
    </row>
    <row r="78">
      <c r="A78" s="34" t="s">
        <v>28</v>
      </c>
      <c r="B78" s="46">
        <f t="shared" ref="B78:L78" si="17">SUM(B76:B77)</f>
        <v>34</v>
      </c>
      <c r="C78" s="46">
        <f t="shared" si="17"/>
        <v>45.1</v>
      </c>
      <c r="D78" s="46">
        <f t="shared" si="17"/>
        <v>0</v>
      </c>
      <c r="E78" s="46">
        <f t="shared" si="17"/>
        <v>18.3</v>
      </c>
      <c r="F78" s="46">
        <f t="shared" si="17"/>
        <v>26.5</v>
      </c>
      <c r="G78" s="46">
        <f t="shared" si="17"/>
        <v>34</v>
      </c>
      <c r="H78" s="46">
        <f t="shared" si="17"/>
        <v>36</v>
      </c>
      <c r="I78" s="46">
        <f t="shared" si="17"/>
        <v>24</v>
      </c>
      <c r="J78" s="46">
        <f t="shared" si="17"/>
        <v>31.2</v>
      </c>
      <c r="K78" s="47">
        <f t="shared" si="17"/>
        <v>19</v>
      </c>
      <c r="L78" s="47">
        <f t="shared" si="17"/>
        <v>87</v>
      </c>
      <c r="M78" s="20"/>
      <c r="N78" s="20">
        <f t="shared" si="1"/>
        <v>355.1</v>
      </c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K79" s="50"/>
      <c r="L79" s="50"/>
      <c r="N79" s="17">
        <f t="shared" si="1"/>
        <v>0</v>
      </c>
    </row>
    <row r="80">
      <c r="A80" s="37">
        <v>45883.0</v>
      </c>
      <c r="B80" s="29"/>
      <c r="C80" s="29"/>
      <c r="D80" s="29"/>
      <c r="E80" s="29"/>
      <c r="F80" s="29"/>
      <c r="G80" s="29"/>
      <c r="H80" s="29"/>
      <c r="I80" s="29"/>
      <c r="J80" s="29"/>
      <c r="K80" s="50"/>
      <c r="L80" s="50"/>
      <c r="N80" s="17">
        <f t="shared" si="1"/>
        <v>0</v>
      </c>
    </row>
    <row r="81">
      <c r="A81" s="30" t="s">
        <v>14</v>
      </c>
      <c r="B81" s="30" t="s">
        <v>29</v>
      </c>
      <c r="C81" s="30" t="s">
        <v>30</v>
      </c>
      <c r="D81" s="30" t="s">
        <v>17</v>
      </c>
      <c r="E81" s="30" t="s">
        <v>31</v>
      </c>
      <c r="F81" s="30" t="s">
        <v>19</v>
      </c>
      <c r="G81" s="30" t="s">
        <v>20</v>
      </c>
      <c r="H81" s="30" t="s">
        <v>21</v>
      </c>
      <c r="I81" s="30" t="s">
        <v>22</v>
      </c>
      <c r="J81" s="30" t="s">
        <v>23</v>
      </c>
      <c r="K81" s="44" t="s">
        <v>24</v>
      </c>
      <c r="L81" s="44" t="s">
        <v>25</v>
      </c>
      <c r="N81" s="17">
        <f t="shared" si="1"/>
        <v>0</v>
      </c>
    </row>
    <row r="82">
      <c r="A82" s="31" t="s">
        <v>26</v>
      </c>
      <c r="B82" s="33">
        <v>72.0</v>
      </c>
      <c r="C82" s="33">
        <v>21.0</v>
      </c>
      <c r="D82" s="33">
        <v>40.0</v>
      </c>
      <c r="E82" s="33">
        <v>19.3</v>
      </c>
      <c r="F82" s="33">
        <v>17.4</v>
      </c>
      <c r="G82" s="33">
        <v>10.0</v>
      </c>
      <c r="H82" s="33">
        <v>26.0</v>
      </c>
      <c r="I82" s="33">
        <v>27.3</v>
      </c>
      <c r="J82" s="33">
        <v>29.5</v>
      </c>
      <c r="K82" s="45">
        <v>19.0</v>
      </c>
      <c r="L82" s="45">
        <v>88.0</v>
      </c>
      <c r="N82" s="17">
        <f t="shared" si="1"/>
        <v>369.5</v>
      </c>
    </row>
    <row r="83">
      <c r="A83" s="31" t="s">
        <v>27</v>
      </c>
      <c r="B83" s="33">
        <v>40.0</v>
      </c>
      <c r="C83" s="33">
        <v>12.0</v>
      </c>
      <c r="D83" s="33">
        <v>30.0</v>
      </c>
      <c r="E83" s="33">
        <v>20.0</v>
      </c>
      <c r="F83" s="33">
        <v>40.0</v>
      </c>
      <c r="G83" s="33">
        <v>26.0</v>
      </c>
      <c r="H83" s="33">
        <v>20.0</v>
      </c>
      <c r="I83" s="33">
        <v>40.0</v>
      </c>
      <c r="J83" s="33">
        <v>46.0</v>
      </c>
      <c r="K83" s="45">
        <v>1.0</v>
      </c>
      <c r="L83" s="45">
        <v>0.0</v>
      </c>
      <c r="N83" s="17">
        <f t="shared" si="1"/>
        <v>275</v>
      </c>
    </row>
    <row r="84">
      <c r="A84" s="34" t="s">
        <v>28</v>
      </c>
      <c r="B84" s="46">
        <f t="shared" ref="B84:L84" si="18">SUM(B82:B83)</f>
        <v>112</v>
      </c>
      <c r="C84" s="46">
        <f t="shared" si="18"/>
        <v>33</v>
      </c>
      <c r="D84" s="46">
        <f t="shared" si="18"/>
        <v>70</v>
      </c>
      <c r="E84" s="46">
        <f t="shared" si="18"/>
        <v>39.3</v>
      </c>
      <c r="F84" s="46">
        <f t="shared" si="18"/>
        <v>57.4</v>
      </c>
      <c r="G84" s="46">
        <f t="shared" si="18"/>
        <v>36</v>
      </c>
      <c r="H84" s="46">
        <f t="shared" si="18"/>
        <v>46</v>
      </c>
      <c r="I84" s="46">
        <f t="shared" si="18"/>
        <v>67.3</v>
      </c>
      <c r="J84" s="46">
        <f t="shared" si="18"/>
        <v>75.5</v>
      </c>
      <c r="K84" s="47">
        <f t="shared" si="18"/>
        <v>20</v>
      </c>
      <c r="L84" s="47">
        <f t="shared" si="18"/>
        <v>88</v>
      </c>
      <c r="M84" s="20"/>
      <c r="N84" s="20">
        <f t="shared" si="1"/>
        <v>644.5</v>
      </c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K85" s="50"/>
      <c r="L85" s="50"/>
      <c r="N85" s="17">
        <f t="shared" si="1"/>
        <v>0</v>
      </c>
    </row>
    <row r="86">
      <c r="A86" s="37">
        <v>45884.0</v>
      </c>
      <c r="B86" s="29"/>
      <c r="C86" s="29"/>
      <c r="D86" s="29"/>
      <c r="E86" s="29"/>
      <c r="F86" s="29"/>
      <c r="G86" s="29"/>
      <c r="H86" s="29"/>
      <c r="I86" s="29"/>
      <c r="J86" s="29"/>
      <c r="K86" s="50"/>
      <c r="L86" s="50"/>
      <c r="N86" s="17">
        <f t="shared" si="1"/>
        <v>0</v>
      </c>
    </row>
    <row r="87">
      <c r="A87" s="30" t="s">
        <v>14</v>
      </c>
      <c r="B87" s="30" t="s">
        <v>29</v>
      </c>
      <c r="C87" s="30" t="s">
        <v>30</v>
      </c>
      <c r="D87" s="30" t="s">
        <v>17</v>
      </c>
      <c r="E87" s="30" t="s">
        <v>31</v>
      </c>
      <c r="F87" s="30" t="s">
        <v>19</v>
      </c>
      <c r="G87" s="30" t="s">
        <v>20</v>
      </c>
      <c r="H87" s="30" t="s">
        <v>21</v>
      </c>
      <c r="I87" s="30" t="s">
        <v>22</v>
      </c>
      <c r="J87" s="30" t="s">
        <v>23</v>
      </c>
      <c r="K87" s="44" t="s">
        <v>24</v>
      </c>
      <c r="L87" s="44" t="s">
        <v>25</v>
      </c>
      <c r="N87" s="17">
        <f t="shared" si="1"/>
        <v>0</v>
      </c>
    </row>
    <row r="88">
      <c r="A88" s="31" t="s">
        <v>26</v>
      </c>
      <c r="B88" s="33">
        <v>35.0</v>
      </c>
      <c r="C88" s="33">
        <v>26.1</v>
      </c>
      <c r="D88" s="33">
        <v>0.0</v>
      </c>
      <c r="E88" s="33">
        <v>12.5</v>
      </c>
      <c r="F88" s="33">
        <v>34.4</v>
      </c>
      <c r="G88" s="33">
        <v>20.0</v>
      </c>
      <c r="H88" s="33">
        <v>15.0</v>
      </c>
      <c r="I88" s="33">
        <v>29.4</v>
      </c>
      <c r="J88" s="33">
        <v>36.0</v>
      </c>
      <c r="K88" s="45">
        <v>19.0</v>
      </c>
      <c r="L88" s="45">
        <v>70.0</v>
      </c>
      <c r="N88" s="17">
        <f t="shared" si="1"/>
        <v>297.4</v>
      </c>
    </row>
    <row r="89">
      <c r="A89" s="31" t="s">
        <v>27</v>
      </c>
      <c r="B89" s="33">
        <v>40.0</v>
      </c>
      <c r="C89" s="33">
        <v>29.0</v>
      </c>
      <c r="D89" s="33">
        <v>0.0</v>
      </c>
      <c r="E89" s="33">
        <v>0.0</v>
      </c>
      <c r="F89" s="33">
        <v>0.0</v>
      </c>
      <c r="G89" s="33">
        <v>20.0</v>
      </c>
      <c r="H89" s="33">
        <v>9.0</v>
      </c>
      <c r="I89" s="33">
        <v>0.0</v>
      </c>
      <c r="J89" s="33">
        <v>0.0</v>
      </c>
      <c r="K89" s="45">
        <v>1.0</v>
      </c>
      <c r="L89" s="45">
        <v>1.0</v>
      </c>
      <c r="N89" s="17">
        <f t="shared" si="1"/>
        <v>100</v>
      </c>
    </row>
    <row r="90">
      <c r="A90" s="34" t="s">
        <v>28</v>
      </c>
      <c r="B90" s="46">
        <f t="shared" ref="B90:L90" si="19">SUM(B88:B89)</f>
        <v>75</v>
      </c>
      <c r="C90" s="46">
        <f t="shared" si="19"/>
        <v>55.1</v>
      </c>
      <c r="D90" s="46">
        <f t="shared" si="19"/>
        <v>0</v>
      </c>
      <c r="E90" s="46">
        <f t="shared" si="19"/>
        <v>12.5</v>
      </c>
      <c r="F90" s="46">
        <f t="shared" si="19"/>
        <v>34.4</v>
      </c>
      <c r="G90" s="46">
        <f t="shared" si="19"/>
        <v>40</v>
      </c>
      <c r="H90" s="46">
        <f t="shared" si="19"/>
        <v>24</v>
      </c>
      <c r="I90" s="46">
        <f t="shared" si="19"/>
        <v>29.4</v>
      </c>
      <c r="J90" s="46">
        <f t="shared" si="19"/>
        <v>36</v>
      </c>
      <c r="K90" s="47">
        <f t="shared" si="19"/>
        <v>20</v>
      </c>
      <c r="L90" s="47">
        <f t="shared" si="19"/>
        <v>71</v>
      </c>
      <c r="M90" s="20"/>
      <c r="N90" s="20">
        <f t="shared" si="1"/>
        <v>397.4</v>
      </c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K91" s="59"/>
      <c r="L91" s="59"/>
      <c r="N91" s="17">
        <f t="shared" si="1"/>
        <v>0</v>
      </c>
    </row>
    <row r="92">
      <c r="A92" s="37">
        <v>45885.0</v>
      </c>
      <c r="B92" s="29"/>
      <c r="C92" s="29"/>
      <c r="D92" s="29"/>
      <c r="E92" s="29"/>
      <c r="F92" s="29"/>
      <c r="G92" s="29"/>
      <c r="H92" s="29"/>
      <c r="I92" s="29"/>
      <c r="J92" s="29"/>
      <c r="K92" s="50"/>
      <c r="L92" s="50"/>
      <c r="N92" s="17">
        <f t="shared" si="1"/>
        <v>0</v>
      </c>
    </row>
    <row r="93">
      <c r="A93" s="30" t="s">
        <v>14</v>
      </c>
      <c r="B93" s="30" t="s">
        <v>29</v>
      </c>
      <c r="C93" s="30" t="s">
        <v>30</v>
      </c>
      <c r="D93" s="30" t="s">
        <v>17</v>
      </c>
      <c r="E93" s="30" t="s">
        <v>31</v>
      </c>
      <c r="F93" s="30" t="s">
        <v>19</v>
      </c>
      <c r="G93" s="30" t="s">
        <v>20</v>
      </c>
      <c r="H93" s="30" t="s">
        <v>21</v>
      </c>
      <c r="I93" s="30" t="s">
        <v>22</v>
      </c>
      <c r="J93" s="30" t="s">
        <v>23</v>
      </c>
      <c r="K93" s="44" t="s">
        <v>24</v>
      </c>
      <c r="L93" s="44" t="s">
        <v>25</v>
      </c>
      <c r="N93" s="17">
        <f t="shared" si="1"/>
        <v>0</v>
      </c>
    </row>
    <row r="94">
      <c r="A94" s="31" t="s">
        <v>26</v>
      </c>
      <c r="B94" s="33">
        <v>69.0</v>
      </c>
      <c r="C94" s="33">
        <v>35.5</v>
      </c>
      <c r="D94" s="33">
        <v>0.0</v>
      </c>
      <c r="E94" s="33">
        <v>16.5</v>
      </c>
      <c r="F94" s="33">
        <v>17.9</v>
      </c>
      <c r="G94" s="33">
        <v>0.0</v>
      </c>
      <c r="H94" s="33">
        <v>19.8</v>
      </c>
      <c r="I94" s="33">
        <v>20.5</v>
      </c>
      <c r="J94" s="33">
        <v>17.5</v>
      </c>
      <c r="K94" s="45">
        <v>20.0</v>
      </c>
      <c r="L94" s="45">
        <v>86.0</v>
      </c>
      <c r="N94" s="17">
        <f t="shared" si="1"/>
        <v>302.7</v>
      </c>
    </row>
    <row r="95">
      <c r="A95" s="31" t="s">
        <v>27</v>
      </c>
      <c r="B95" s="33">
        <v>22.0</v>
      </c>
      <c r="C95" s="33">
        <v>10.0</v>
      </c>
      <c r="D95" s="33">
        <v>0.0</v>
      </c>
      <c r="E95" s="33">
        <v>0.0</v>
      </c>
      <c r="F95" s="33">
        <v>0.0</v>
      </c>
      <c r="G95" s="33">
        <v>57.0</v>
      </c>
      <c r="H95" s="33">
        <v>0.0</v>
      </c>
      <c r="I95" s="33">
        <v>0.0</v>
      </c>
      <c r="J95" s="33">
        <v>57.0</v>
      </c>
      <c r="K95" s="45">
        <v>1.0</v>
      </c>
      <c r="L95" s="45">
        <v>0.0</v>
      </c>
      <c r="N95" s="17">
        <f t="shared" si="1"/>
        <v>147</v>
      </c>
    </row>
    <row r="96">
      <c r="A96" s="34" t="s">
        <v>28</v>
      </c>
      <c r="B96" s="46">
        <f t="shared" ref="B96:L96" si="20">SUM(B94:B95)</f>
        <v>91</v>
      </c>
      <c r="C96" s="46">
        <f t="shared" si="20"/>
        <v>45.5</v>
      </c>
      <c r="D96" s="46">
        <f t="shared" si="20"/>
        <v>0</v>
      </c>
      <c r="E96" s="46">
        <f t="shared" si="20"/>
        <v>16.5</v>
      </c>
      <c r="F96" s="46">
        <f t="shared" si="20"/>
        <v>17.9</v>
      </c>
      <c r="G96" s="46">
        <f t="shared" si="20"/>
        <v>57</v>
      </c>
      <c r="H96" s="46">
        <f t="shared" si="20"/>
        <v>19.8</v>
      </c>
      <c r="I96" s="46">
        <f t="shared" si="20"/>
        <v>20.5</v>
      </c>
      <c r="J96" s="46">
        <f t="shared" si="20"/>
        <v>74.5</v>
      </c>
      <c r="K96" s="47">
        <f t="shared" si="20"/>
        <v>21</v>
      </c>
      <c r="L96" s="47">
        <f t="shared" si="20"/>
        <v>86</v>
      </c>
      <c r="M96" s="20"/>
      <c r="N96" s="20">
        <f t="shared" si="1"/>
        <v>449.7</v>
      </c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K97" s="50"/>
      <c r="L97" s="50"/>
      <c r="N97" s="17">
        <f t="shared" si="1"/>
        <v>0</v>
      </c>
    </row>
    <row r="98">
      <c r="A98" s="37">
        <v>45886.0</v>
      </c>
      <c r="B98" s="29"/>
      <c r="C98" s="29"/>
      <c r="D98" s="29"/>
      <c r="E98" s="29"/>
      <c r="F98" s="29"/>
      <c r="G98" s="29"/>
      <c r="H98" s="29"/>
      <c r="I98" s="29"/>
      <c r="J98" s="29"/>
      <c r="K98" s="50"/>
      <c r="L98" s="50"/>
      <c r="N98" s="17">
        <f t="shared" si="1"/>
        <v>0</v>
      </c>
    </row>
    <row r="99">
      <c r="A99" s="30" t="s">
        <v>14</v>
      </c>
      <c r="B99" s="30" t="s">
        <v>29</v>
      </c>
      <c r="C99" s="30" t="s">
        <v>30</v>
      </c>
      <c r="D99" s="30" t="s">
        <v>17</v>
      </c>
      <c r="E99" s="30" t="s">
        <v>31</v>
      </c>
      <c r="F99" s="30" t="s">
        <v>19</v>
      </c>
      <c r="G99" s="30" t="s">
        <v>20</v>
      </c>
      <c r="H99" s="30" t="s">
        <v>21</v>
      </c>
      <c r="I99" s="30" t="s">
        <v>22</v>
      </c>
      <c r="J99" s="30" t="s">
        <v>23</v>
      </c>
      <c r="K99" s="44" t="s">
        <v>24</v>
      </c>
      <c r="L99" s="44" t="s">
        <v>25</v>
      </c>
      <c r="N99" s="17">
        <f t="shared" si="1"/>
        <v>0</v>
      </c>
    </row>
    <row r="100">
      <c r="A100" s="31" t="s">
        <v>26</v>
      </c>
      <c r="B100" s="33">
        <v>100.0</v>
      </c>
      <c r="C100" s="33">
        <v>25.24</v>
      </c>
      <c r="D100" s="33">
        <v>0.0</v>
      </c>
      <c r="E100" s="33">
        <v>19.0</v>
      </c>
      <c r="F100" s="33">
        <v>15.5</v>
      </c>
      <c r="G100" s="33">
        <v>14.6</v>
      </c>
      <c r="H100" s="33">
        <v>16.5</v>
      </c>
      <c r="I100" s="33">
        <v>19.5</v>
      </c>
      <c r="J100" s="33">
        <v>20.5</v>
      </c>
      <c r="K100" s="45">
        <v>25.0</v>
      </c>
      <c r="L100" s="45">
        <v>80.0</v>
      </c>
      <c r="N100" s="17">
        <f t="shared" si="1"/>
        <v>335.84</v>
      </c>
    </row>
    <row r="101">
      <c r="A101" s="31" t="s">
        <v>27</v>
      </c>
      <c r="B101" s="33">
        <v>21.0</v>
      </c>
      <c r="C101" s="33">
        <v>15.0</v>
      </c>
      <c r="D101" s="33">
        <v>0.0</v>
      </c>
      <c r="E101" s="33">
        <v>0.0</v>
      </c>
      <c r="F101" s="33">
        <v>0.0</v>
      </c>
      <c r="G101" s="33">
        <v>19.5</v>
      </c>
      <c r="H101" s="33">
        <v>20.5</v>
      </c>
      <c r="I101" s="33">
        <v>0.0</v>
      </c>
      <c r="J101" s="33">
        <v>0.0</v>
      </c>
      <c r="K101" s="45">
        <v>2.0</v>
      </c>
      <c r="L101" s="45">
        <v>0.0</v>
      </c>
      <c r="N101" s="17">
        <f t="shared" si="1"/>
        <v>78</v>
      </c>
    </row>
    <row r="102">
      <c r="A102" s="34" t="s">
        <v>28</v>
      </c>
      <c r="B102" s="46">
        <f t="shared" ref="B102:L102" si="21">SUM(B100:B101)</f>
        <v>121</v>
      </c>
      <c r="C102" s="46">
        <f t="shared" si="21"/>
        <v>40.24</v>
      </c>
      <c r="D102" s="46">
        <f t="shared" si="21"/>
        <v>0</v>
      </c>
      <c r="E102" s="46">
        <f t="shared" si="21"/>
        <v>19</v>
      </c>
      <c r="F102" s="46">
        <f t="shared" si="21"/>
        <v>15.5</v>
      </c>
      <c r="G102" s="46">
        <f t="shared" si="21"/>
        <v>34.1</v>
      </c>
      <c r="H102" s="46">
        <f t="shared" si="21"/>
        <v>37</v>
      </c>
      <c r="I102" s="46">
        <f t="shared" si="21"/>
        <v>19.5</v>
      </c>
      <c r="J102" s="46">
        <f t="shared" si="21"/>
        <v>20.5</v>
      </c>
      <c r="K102" s="47">
        <f t="shared" si="21"/>
        <v>27</v>
      </c>
      <c r="L102" s="47">
        <f t="shared" si="21"/>
        <v>80</v>
      </c>
      <c r="M102" s="20"/>
      <c r="N102" s="20">
        <f t="shared" si="1"/>
        <v>413.84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K103" s="50"/>
      <c r="L103" s="50"/>
      <c r="N103" s="17">
        <f t="shared" si="1"/>
        <v>0</v>
      </c>
    </row>
    <row r="104">
      <c r="A104" s="37">
        <v>45887.0</v>
      </c>
      <c r="B104" s="29"/>
      <c r="C104" s="29"/>
      <c r="D104" s="29"/>
      <c r="E104" s="29"/>
      <c r="F104" s="29"/>
      <c r="G104" s="29"/>
      <c r="H104" s="29"/>
      <c r="I104" s="29"/>
      <c r="J104" s="29"/>
      <c r="K104" s="50"/>
      <c r="L104" s="50"/>
      <c r="N104" s="17">
        <f t="shared" si="1"/>
        <v>0</v>
      </c>
    </row>
    <row r="105">
      <c r="A105" s="30" t="s">
        <v>14</v>
      </c>
      <c r="B105" s="30" t="s">
        <v>29</v>
      </c>
      <c r="C105" s="30" t="s">
        <v>30</v>
      </c>
      <c r="D105" s="30" t="s">
        <v>17</v>
      </c>
      <c r="E105" s="30" t="s">
        <v>31</v>
      </c>
      <c r="F105" s="30" t="s">
        <v>19</v>
      </c>
      <c r="G105" s="30" t="s">
        <v>20</v>
      </c>
      <c r="H105" s="30" t="s">
        <v>21</v>
      </c>
      <c r="I105" s="30" t="s">
        <v>22</v>
      </c>
      <c r="J105" s="30" t="s">
        <v>23</v>
      </c>
      <c r="K105" s="44" t="s">
        <v>24</v>
      </c>
      <c r="L105" s="44" t="s">
        <v>25</v>
      </c>
      <c r="N105" s="17">
        <f t="shared" si="1"/>
        <v>0</v>
      </c>
    </row>
    <row r="106">
      <c r="A106" s="31" t="s">
        <v>26</v>
      </c>
      <c r="B106" s="33">
        <v>74.0</v>
      </c>
      <c r="C106" s="33">
        <v>23.2</v>
      </c>
      <c r="D106" s="33">
        <v>0.0</v>
      </c>
      <c r="E106" s="33">
        <v>16.5</v>
      </c>
      <c r="F106" s="33">
        <v>17.5</v>
      </c>
      <c r="G106" s="33">
        <v>19.5</v>
      </c>
      <c r="H106" s="33">
        <v>20.5</v>
      </c>
      <c r="I106" s="33">
        <v>26.5</v>
      </c>
      <c r="J106" s="33">
        <v>19.5</v>
      </c>
      <c r="K106" s="45">
        <v>26.0</v>
      </c>
      <c r="L106" s="45">
        <v>79.0</v>
      </c>
      <c r="N106" s="17">
        <f t="shared" si="1"/>
        <v>322.2</v>
      </c>
    </row>
    <row r="107">
      <c r="A107" s="31" t="s">
        <v>27</v>
      </c>
      <c r="B107" s="33">
        <v>29.0</v>
      </c>
      <c r="C107" s="33">
        <v>11.1</v>
      </c>
      <c r="D107" s="33">
        <v>0.0</v>
      </c>
      <c r="E107" s="33">
        <v>0.0</v>
      </c>
      <c r="F107" s="33">
        <v>0.0</v>
      </c>
      <c r="G107" s="33">
        <v>10.5</v>
      </c>
      <c r="H107" s="33">
        <v>16.5</v>
      </c>
      <c r="I107" s="33">
        <v>0.0</v>
      </c>
      <c r="J107" s="33">
        <v>0.0</v>
      </c>
      <c r="K107" s="45">
        <v>1.0</v>
      </c>
      <c r="L107" s="45">
        <v>0.0</v>
      </c>
      <c r="N107" s="17">
        <f t="shared" si="1"/>
        <v>68.1</v>
      </c>
    </row>
    <row r="108">
      <c r="A108" s="34" t="s">
        <v>28</v>
      </c>
      <c r="B108" s="46">
        <f t="shared" ref="B108:L108" si="22">SUM(B106:B107)</f>
        <v>103</v>
      </c>
      <c r="C108" s="46">
        <f t="shared" si="22"/>
        <v>34.3</v>
      </c>
      <c r="D108" s="46">
        <f t="shared" si="22"/>
        <v>0</v>
      </c>
      <c r="E108" s="46">
        <f t="shared" si="22"/>
        <v>16.5</v>
      </c>
      <c r="F108" s="46">
        <f t="shared" si="22"/>
        <v>17.5</v>
      </c>
      <c r="G108" s="46">
        <f t="shared" si="22"/>
        <v>30</v>
      </c>
      <c r="H108" s="46">
        <f t="shared" si="22"/>
        <v>37</v>
      </c>
      <c r="I108" s="46">
        <f t="shared" si="22"/>
        <v>26.5</v>
      </c>
      <c r="J108" s="46">
        <f t="shared" si="22"/>
        <v>19.5</v>
      </c>
      <c r="K108" s="47">
        <f t="shared" si="22"/>
        <v>27</v>
      </c>
      <c r="L108" s="47">
        <f t="shared" si="22"/>
        <v>79</v>
      </c>
      <c r="M108" s="20"/>
      <c r="N108" s="20">
        <f t="shared" si="1"/>
        <v>390.3</v>
      </c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K109" s="50"/>
      <c r="L109" s="50"/>
      <c r="N109" s="17">
        <f t="shared" si="1"/>
        <v>0</v>
      </c>
    </row>
    <row r="110">
      <c r="A110" s="37">
        <v>45889.0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50"/>
      <c r="L110" s="50"/>
      <c r="N110" s="17">
        <f t="shared" si="1"/>
        <v>0</v>
      </c>
    </row>
    <row r="111">
      <c r="A111" s="30" t="s">
        <v>14</v>
      </c>
      <c r="B111" s="30" t="s">
        <v>29</v>
      </c>
      <c r="C111" s="30" t="s">
        <v>30</v>
      </c>
      <c r="D111" s="30" t="s">
        <v>17</v>
      </c>
      <c r="E111" s="30" t="s">
        <v>31</v>
      </c>
      <c r="F111" s="30" t="s">
        <v>19</v>
      </c>
      <c r="G111" s="30" t="s">
        <v>20</v>
      </c>
      <c r="H111" s="30" t="s">
        <v>21</v>
      </c>
      <c r="I111" s="30" t="s">
        <v>22</v>
      </c>
      <c r="J111" s="30" t="s">
        <v>23</v>
      </c>
      <c r="K111" s="44" t="s">
        <v>24</v>
      </c>
      <c r="L111" s="44" t="s">
        <v>25</v>
      </c>
      <c r="N111" s="17">
        <f t="shared" si="1"/>
        <v>0</v>
      </c>
    </row>
    <row r="112">
      <c r="A112" s="31" t="s">
        <v>26</v>
      </c>
      <c r="B112" s="33">
        <v>67.0</v>
      </c>
      <c r="C112" s="33"/>
      <c r="D112" s="33"/>
      <c r="E112" s="33">
        <v>19.0</v>
      </c>
      <c r="F112" s="33">
        <v>30.0</v>
      </c>
      <c r="G112" s="33"/>
      <c r="H112" s="33"/>
      <c r="I112" s="33">
        <v>15.0</v>
      </c>
      <c r="J112" s="33">
        <v>39.0</v>
      </c>
      <c r="K112" s="45">
        <v>27.0</v>
      </c>
      <c r="L112" s="45">
        <v>80.0</v>
      </c>
      <c r="N112" s="17">
        <f t="shared" si="1"/>
        <v>277</v>
      </c>
    </row>
    <row r="113">
      <c r="A113" s="31" t="s">
        <v>27</v>
      </c>
      <c r="B113" s="33">
        <v>19.0</v>
      </c>
      <c r="C113" s="33"/>
      <c r="D113" s="33"/>
      <c r="E113" s="33"/>
      <c r="F113" s="33"/>
      <c r="G113" s="33"/>
      <c r="H113" s="33"/>
      <c r="I113" s="33"/>
      <c r="J113" s="33"/>
      <c r="K113" s="45">
        <v>1.0</v>
      </c>
      <c r="L113" s="45">
        <v>0.0</v>
      </c>
      <c r="N113" s="17">
        <f t="shared" si="1"/>
        <v>20</v>
      </c>
    </row>
    <row r="114">
      <c r="A114" s="34" t="s">
        <v>28</v>
      </c>
      <c r="B114" s="46">
        <f t="shared" ref="B114:L114" si="23">SUM(B112:B113)</f>
        <v>86</v>
      </c>
      <c r="C114" s="46">
        <f t="shared" si="23"/>
        <v>0</v>
      </c>
      <c r="D114" s="46">
        <f t="shared" si="23"/>
        <v>0</v>
      </c>
      <c r="E114" s="46">
        <f t="shared" si="23"/>
        <v>19</v>
      </c>
      <c r="F114" s="46">
        <f t="shared" si="23"/>
        <v>30</v>
      </c>
      <c r="G114" s="46">
        <f t="shared" si="23"/>
        <v>0</v>
      </c>
      <c r="H114" s="46">
        <f t="shared" si="23"/>
        <v>0</v>
      </c>
      <c r="I114" s="46">
        <f t="shared" si="23"/>
        <v>15</v>
      </c>
      <c r="J114" s="46">
        <f t="shared" si="23"/>
        <v>39</v>
      </c>
      <c r="K114" s="47">
        <f t="shared" si="23"/>
        <v>28</v>
      </c>
      <c r="L114" s="47">
        <f t="shared" si="23"/>
        <v>80</v>
      </c>
      <c r="M114" s="20"/>
      <c r="N114" s="20">
        <f t="shared" si="1"/>
        <v>297</v>
      </c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K115" s="50"/>
      <c r="L115" s="50"/>
      <c r="N115" s="17">
        <f t="shared" si="1"/>
        <v>0</v>
      </c>
    </row>
    <row r="116">
      <c r="A116" s="37">
        <v>45890.0</v>
      </c>
      <c r="B116" s="29"/>
      <c r="C116" s="29"/>
      <c r="D116" s="29"/>
      <c r="E116" s="29"/>
      <c r="F116" s="29"/>
      <c r="G116" s="29"/>
      <c r="H116" s="29"/>
      <c r="I116" s="29"/>
      <c r="J116" s="29"/>
      <c r="K116" s="50"/>
      <c r="L116" s="50"/>
      <c r="N116" s="17">
        <f t="shared" si="1"/>
        <v>0</v>
      </c>
    </row>
    <row r="117">
      <c r="A117" s="30" t="s">
        <v>14</v>
      </c>
      <c r="B117" s="30" t="s">
        <v>29</v>
      </c>
      <c r="C117" s="30" t="s">
        <v>30</v>
      </c>
      <c r="D117" s="30" t="s">
        <v>17</v>
      </c>
      <c r="E117" s="30" t="s">
        <v>31</v>
      </c>
      <c r="F117" s="30" t="s">
        <v>19</v>
      </c>
      <c r="G117" s="30" t="s">
        <v>20</v>
      </c>
      <c r="H117" s="30" t="s">
        <v>21</v>
      </c>
      <c r="I117" s="30" t="s">
        <v>22</v>
      </c>
      <c r="J117" s="30" t="s">
        <v>23</v>
      </c>
      <c r="K117" s="44" t="s">
        <v>24</v>
      </c>
      <c r="L117" s="44" t="s">
        <v>25</v>
      </c>
      <c r="N117" s="17">
        <f t="shared" si="1"/>
        <v>0</v>
      </c>
    </row>
    <row r="118">
      <c r="A118" s="31" t="s">
        <v>26</v>
      </c>
      <c r="B118" s="33">
        <v>66.0</v>
      </c>
      <c r="C118" s="33"/>
      <c r="D118" s="33">
        <v>50.0</v>
      </c>
      <c r="E118" s="33">
        <v>34.0</v>
      </c>
      <c r="F118" s="33">
        <v>19.0</v>
      </c>
      <c r="G118" s="33"/>
      <c r="H118" s="33"/>
      <c r="I118" s="33">
        <v>30.0</v>
      </c>
      <c r="J118" s="33">
        <v>16.0</v>
      </c>
      <c r="K118" s="45">
        <v>27.0</v>
      </c>
      <c r="L118" s="45">
        <v>80.0</v>
      </c>
      <c r="N118" s="17">
        <f t="shared" si="1"/>
        <v>322</v>
      </c>
    </row>
    <row r="119">
      <c r="A119" s="31" t="s">
        <v>27</v>
      </c>
      <c r="B119" s="33">
        <v>28.0</v>
      </c>
      <c r="C119" s="33"/>
      <c r="D119" s="33">
        <v>45.0</v>
      </c>
      <c r="E119" s="33">
        <v>40.0</v>
      </c>
      <c r="F119" s="33">
        <v>40.0</v>
      </c>
      <c r="G119" s="33">
        <v>40.0</v>
      </c>
      <c r="H119" s="33">
        <v>40.0</v>
      </c>
      <c r="I119" s="33">
        <v>40.0</v>
      </c>
      <c r="J119" s="33">
        <v>60.0</v>
      </c>
      <c r="K119" s="45">
        <v>1.0</v>
      </c>
      <c r="L119" s="45">
        <v>0.0</v>
      </c>
      <c r="N119" s="17">
        <f t="shared" si="1"/>
        <v>334</v>
      </c>
    </row>
    <row r="120">
      <c r="A120" s="34" t="s">
        <v>28</v>
      </c>
      <c r="B120" s="46">
        <f t="shared" ref="B120:L120" si="24">SUM(B118:B119)</f>
        <v>94</v>
      </c>
      <c r="C120" s="46">
        <f t="shared" si="24"/>
        <v>0</v>
      </c>
      <c r="D120" s="46">
        <f t="shared" si="24"/>
        <v>95</v>
      </c>
      <c r="E120" s="46">
        <f t="shared" si="24"/>
        <v>74</v>
      </c>
      <c r="F120" s="46">
        <f t="shared" si="24"/>
        <v>59</v>
      </c>
      <c r="G120" s="46">
        <f t="shared" si="24"/>
        <v>40</v>
      </c>
      <c r="H120" s="46">
        <f t="shared" si="24"/>
        <v>40</v>
      </c>
      <c r="I120" s="46">
        <f t="shared" si="24"/>
        <v>70</v>
      </c>
      <c r="J120" s="46">
        <f t="shared" si="24"/>
        <v>76</v>
      </c>
      <c r="K120" s="47">
        <f t="shared" si="24"/>
        <v>28</v>
      </c>
      <c r="L120" s="47">
        <f t="shared" si="24"/>
        <v>80</v>
      </c>
      <c r="M120" s="20"/>
      <c r="N120" s="20">
        <f t="shared" si="1"/>
        <v>656</v>
      </c>
    </row>
    <row r="121">
      <c r="N121" s="17">
        <f t="shared" si="1"/>
        <v>0</v>
      </c>
    </row>
    <row r="122">
      <c r="A122" s="37">
        <v>45891.0</v>
      </c>
      <c r="B122" s="29"/>
      <c r="C122" s="29"/>
      <c r="D122" s="29"/>
      <c r="E122" s="29"/>
      <c r="F122" s="29"/>
      <c r="G122" s="29"/>
      <c r="H122" s="29"/>
      <c r="I122" s="29"/>
      <c r="J122" s="29"/>
      <c r="K122" s="50"/>
      <c r="L122" s="50"/>
      <c r="N122" s="17">
        <f t="shared" si="1"/>
        <v>0</v>
      </c>
    </row>
    <row r="123">
      <c r="A123" s="30" t="s">
        <v>14</v>
      </c>
      <c r="B123" s="30" t="s">
        <v>29</v>
      </c>
      <c r="C123" s="30" t="s">
        <v>30</v>
      </c>
      <c r="D123" s="30" t="s">
        <v>17</v>
      </c>
      <c r="E123" s="30" t="s">
        <v>31</v>
      </c>
      <c r="F123" s="30" t="s">
        <v>19</v>
      </c>
      <c r="G123" s="30" t="s">
        <v>20</v>
      </c>
      <c r="H123" s="30" t="s">
        <v>21</v>
      </c>
      <c r="I123" s="30" t="s">
        <v>22</v>
      </c>
      <c r="J123" s="30" t="s">
        <v>23</v>
      </c>
      <c r="K123" s="44" t="s">
        <v>24</v>
      </c>
      <c r="L123" s="44" t="s">
        <v>25</v>
      </c>
      <c r="N123" s="17">
        <f t="shared" si="1"/>
        <v>0</v>
      </c>
    </row>
    <row r="124">
      <c r="A124" s="31" t="s">
        <v>26</v>
      </c>
      <c r="B124" s="33">
        <v>125.0</v>
      </c>
      <c r="C124" s="33">
        <v>26.2</v>
      </c>
      <c r="D124" s="33"/>
      <c r="E124" s="33">
        <v>18.0</v>
      </c>
      <c r="F124" s="33">
        <v>26.0</v>
      </c>
      <c r="G124" s="33"/>
      <c r="H124" s="33"/>
      <c r="I124" s="33">
        <v>21.0</v>
      </c>
      <c r="J124" s="33">
        <v>29.0</v>
      </c>
      <c r="K124" s="73">
        <v>24.0</v>
      </c>
      <c r="L124" s="73">
        <v>81.0</v>
      </c>
      <c r="N124" s="17">
        <f t="shared" si="1"/>
        <v>350.2</v>
      </c>
    </row>
    <row r="125">
      <c r="A125" s="31" t="s">
        <v>27</v>
      </c>
      <c r="B125" s="33">
        <v>10.0</v>
      </c>
      <c r="C125" s="33">
        <v>13.1</v>
      </c>
      <c r="D125" s="33"/>
      <c r="E125" s="33"/>
      <c r="F125" s="33"/>
      <c r="G125" s="33"/>
      <c r="H125" s="33"/>
      <c r="I125" s="33"/>
      <c r="J125" s="33"/>
      <c r="K125" s="73">
        <v>1.0</v>
      </c>
      <c r="L125" s="73">
        <v>0.0</v>
      </c>
      <c r="N125" s="17">
        <f t="shared" si="1"/>
        <v>24.1</v>
      </c>
    </row>
    <row r="126">
      <c r="A126" s="34" t="s">
        <v>28</v>
      </c>
      <c r="B126" s="46">
        <f t="shared" ref="B126:L126" si="25">SUM(B124:B125)</f>
        <v>135</v>
      </c>
      <c r="C126" s="46">
        <f t="shared" si="25"/>
        <v>39.3</v>
      </c>
      <c r="D126" s="46">
        <f t="shared" si="25"/>
        <v>0</v>
      </c>
      <c r="E126" s="46">
        <f t="shared" si="25"/>
        <v>18</v>
      </c>
      <c r="F126" s="46">
        <f t="shared" si="25"/>
        <v>26</v>
      </c>
      <c r="G126" s="46">
        <f t="shared" si="25"/>
        <v>0</v>
      </c>
      <c r="H126" s="46">
        <f t="shared" si="25"/>
        <v>0</v>
      </c>
      <c r="I126" s="46">
        <f t="shared" si="25"/>
        <v>21</v>
      </c>
      <c r="J126" s="46">
        <f t="shared" si="25"/>
        <v>29</v>
      </c>
      <c r="K126" s="47">
        <f t="shared" si="25"/>
        <v>25</v>
      </c>
      <c r="L126" s="47">
        <f t="shared" si="25"/>
        <v>81</v>
      </c>
      <c r="M126" s="20"/>
      <c r="N126" s="20">
        <f t="shared" si="1"/>
        <v>374.3</v>
      </c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N127" s="17">
        <f t="shared" si="1"/>
        <v>0</v>
      </c>
    </row>
    <row r="128">
      <c r="A128" s="37">
        <v>45892.0</v>
      </c>
      <c r="B128" s="29"/>
      <c r="C128" s="29"/>
      <c r="D128" s="29"/>
      <c r="E128" s="29"/>
      <c r="F128" s="29"/>
      <c r="G128" s="29"/>
      <c r="H128" s="29"/>
      <c r="I128" s="29"/>
      <c r="J128" s="29"/>
      <c r="K128" s="50"/>
      <c r="L128" s="50"/>
      <c r="N128" s="17">
        <f t="shared" si="1"/>
        <v>0</v>
      </c>
    </row>
    <row r="129">
      <c r="A129" s="30" t="s">
        <v>14</v>
      </c>
      <c r="B129" s="30" t="s">
        <v>29</v>
      </c>
      <c r="C129" s="30" t="s">
        <v>30</v>
      </c>
      <c r="D129" s="30" t="s">
        <v>17</v>
      </c>
      <c r="E129" s="30" t="s">
        <v>31</v>
      </c>
      <c r="F129" s="30" t="s">
        <v>19</v>
      </c>
      <c r="G129" s="30" t="s">
        <v>20</v>
      </c>
      <c r="H129" s="30" t="s">
        <v>21</v>
      </c>
      <c r="I129" s="30" t="s">
        <v>22</v>
      </c>
      <c r="J129" s="30" t="s">
        <v>23</v>
      </c>
      <c r="K129" s="44" t="s">
        <v>24</v>
      </c>
      <c r="L129" s="44" t="s">
        <v>25</v>
      </c>
      <c r="N129" s="17">
        <f t="shared" si="1"/>
        <v>0</v>
      </c>
    </row>
    <row r="130">
      <c r="A130" s="31" t="s">
        <v>26</v>
      </c>
      <c r="B130" s="33"/>
      <c r="C130" s="33"/>
      <c r="D130" s="33"/>
      <c r="E130" s="33">
        <v>15.0</v>
      </c>
      <c r="F130" s="33">
        <v>22.0</v>
      </c>
      <c r="G130" s="33"/>
      <c r="H130" s="33"/>
      <c r="I130" s="33">
        <v>15.0</v>
      </c>
      <c r="J130" s="33">
        <v>20.0</v>
      </c>
      <c r="K130" s="73">
        <v>20.0</v>
      </c>
      <c r="L130" s="73">
        <v>89.0</v>
      </c>
      <c r="N130" s="17">
        <f t="shared" si="1"/>
        <v>181</v>
      </c>
    </row>
    <row r="131">
      <c r="A131" s="31" t="s">
        <v>27</v>
      </c>
      <c r="B131" s="33"/>
      <c r="C131" s="33"/>
      <c r="D131" s="33"/>
      <c r="E131" s="33"/>
      <c r="F131" s="33"/>
      <c r="G131" s="33"/>
      <c r="H131" s="33"/>
      <c r="I131" s="33"/>
      <c r="J131" s="33"/>
      <c r="K131" s="73">
        <v>3.0</v>
      </c>
      <c r="L131" s="73">
        <v>0.0</v>
      </c>
      <c r="N131" s="17">
        <f t="shared" si="1"/>
        <v>3</v>
      </c>
    </row>
    <row r="132">
      <c r="A132" s="34" t="s">
        <v>28</v>
      </c>
      <c r="B132" s="46">
        <f t="shared" ref="B132:L132" si="26">SUM(B130:B131)</f>
        <v>0</v>
      </c>
      <c r="C132" s="46">
        <f t="shared" si="26"/>
        <v>0</v>
      </c>
      <c r="D132" s="46">
        <f t="shared" si="26"/>
        <v>0</v>
      </c>
      <c r="E132" s="46">
        <f t="shared" si="26"/>
        <v>15</v>
      </c>
      <c r="F132" s="46">
        <f t="shared" si="26"/>
        <v>22</v>
      </c>
      <c r="G132" s="46">
        <f t="shared" si="26"/>
        <v>0</v>
      </c>
      <c r="H132" s="46">
        <f t="shared" si="26"/>
        <v>0</v>
      </c>
      <c r="I132" s="46">
        <f t="shared" si="26"/>
        <v>15</v>
      </c>
      <c r="J132" s="46">
        <f t="shared" si="26"/>
        <v>20</v>
      </c>
      <c r="K132" s="47">
        <f t="shared" si="26"/>
        <v>23</v>
      </c>
      <c r="L132" s="47">
        <f t="shared" si="26"/>
        <v>89</v>
      </c>
      <c r="M132" s="20"/>
      <c r="N132" s="20">
        <f t="shared" si="1"/>
        <v>184</v>
      </c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N133" s="17">
        <f t="shared" si="1"/>
        <v>0</v>
      </c>
    </row>
    <row r="134">
      <c r="A134" s="37">
        <v>45893.0</v>
      </c>
      <c r="B134" s="29"/>
      <c r="C134" s="29"/>
      <c r="D134" s="29"/>
      <c r="E134" s="29"/>
      <c r="F134" s="29"/>
      <c r="G134" s="29"/>
      <c r="H134" s="29"/>
      <c r="I134" s="29"/>
      <c r="J134" s="29"/>
      <c r="K134" s="50"/>
      <c r="L134" s="50"/>
      <c r="N134" s="17">
        <f t="shared" si="1"/>
        <v>0</v>
      </c>
    </row>
    <row r="135">
      <c r="A135" s="30" t="s">
        <v>14</v>
      </c>
      <c r="B135" s="30" t="s">
        <v>29</v>
      </c>
      <c r="C135" s="30" t="s">
        <v>30</v>
      </c>
      <c r="D135" s="30" t="s">
        <v>17</v>
      </c>
      <c r="E135" s="30" t="s">
        <v>31</v>
      </c>
      <c r="F135" s="30" t="s">
        <v>19</v>
      </c>
      <c r="G135" s="30" t="s">
        <v>20</v>
      </c>
      <c r="H135" s="30" t="s">
        <v>21</v>
      </c>
      <c r="I135" s="30" t="s">
        <v>22</v>
      </c>
      <c r="J135" s="30" t="s">
        <v>23</v>
      </c>
      <c r="K135" s="44" t="s">
        <v>24</v>
      </c>
      <c r="L135" s="44" t="s">
        <v>25</v>
      </c>
      <c r="N135" s="17">
        <f t="shared" si="1"/>
        <v>0</v>
      </c>
    </row>
    <row r="136">
      <c r="A136" s="31" t="s">
        <v>26</v>
      </c>
      <c r="B136" s="33">
        <v>19.0</v>
      </c>
      <c r="C136" s="33"/>
      <c r="D136" s="33"/>
      <c r="E136" s="33">
        <v>28.0</v>
      </c>
      <c r="F136" s="33">
        <v>19.0</v>
      </c>
      <c r="G136" s="33"/>
      <c r="H136" s="33"/>
      <c r="I136" s="33">
        <v>32.0</v>
      </c>
      <c r="J136" s="33">
        <v>45.0</v>
      </c>
      <c r="K136" s="73">
        <v>19.0</v>
      </c>
      <c r="L136" s="73">
        <v>80.0</v>
      </c>
      <c r="N136" s="17">
        <f t="shared" si="1"/>
        <v>242</v>
      </c>
    </row>
    <row r="137">
      <c r="A137" s="31" t="s">
        <v>27</v>
      </c>
      <c r="B137" s="33">
        <v>7.0</v>
      </c>
      <c r="C137" s="33"/>
      <c r="D137" s="33"/>
      <c r="E137" s="33"/>
      <c r="F137" s="33"/>
      <c r="G137" s="33"/>
      <c r="H137" s="33"/>
      <c r="I137" s="33"/>
      <c r="J137" s="33"/>
      <c r="K137" s="73">
        <v>1.0</v>
      </c>
      <c r="L137" s="73">
        <v>0.0</v>
      </c>
      <c r="N137" s="17">
        <f t="shared" si="1"/>
        <v>8</v>
      </c>
    </row>
    <row r="138">
      <c r="A138" s="34" t="s">
        <v>28</v>
      </c>
      <c r="B138" s="46">
        <f t="shared" ref="B138:L138" si="27">SUM(B136:B137)</f>
        <v>26</v>
      </c>
      <c r="C138" s="46">
        <f t="shared" si="27"/>
        <v>0</v>
      </c>
      <c r="D138" s="46">
        <f t="shared" si="27"/>
        <v>0</v>
      </c>
      <c r="E138" s="46">
        <f t="shared" si="27"/>
        <v>28</v>
      </c>
      <c r="F138" s="46">
        <f t="shared" si="27"/>
        <v>19</v>
      </c>
      <c r="G138" s="46">
        <f t="shared" si="27"/>
        <v>0</v>
      </c>
      <c r="H138" s="46">
        <f t="shared" si="27"/>
        <v>0</v>
      </c>
      <c r="I138" s="46">
        <f t="shared" si="27"/>
        <v>32</v>
      </c>
      <c r="J138" s="46">
        <f t="shared" si="27"/>
        <v>45</v>
      </c>
      <c r="K138" s="47">
        <f t="shared" si="27"/>
        <v>20</v>
      </c>
      <c r="L138" s="47">
        <f t="shared" si="27"/>
        <v>80</v>
      </c>
      <c r="M138" s="20"/>
      <c r="N138" s="20">
        <f t="shared" si="1"/>
        <v>250</v>
      </c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N139" s="17">
        <f t="shared" si="1"/>
        <v>0</v>
      </c>
    </row>
    <row r="140">
      <c r="A140" s="37">
        <v>45894.0</v>
      </c>
      <c r="B140" s="29"/>
      <c r="C140" s="29"/>
      <c r="D140" s="29"/>
      <c r="E140" s="29"/>
      <c r="F140" s="29"/>
      <c r="G140" s="29"/>
      <c r="H140" s="29"/>
      <c r="I140" s="29"/>
      <c r="J140" s="29"/>
      <c r="K140" s="50"/>
      <c r="L140" s="50"/>
      <c r="N140" s="17">
        <f t="shared" si="1"/>
        <v>0</v>
      </c>
    </row>
    <row r="141">
      <c r="A141" s="30" t="s">
        <v>14</v>
      </c>
      <c r="B141" s="30" t="s">
        <v>29</v>
      </c>
      <c r="C141" s="30" t="s">
        <v>30</v>
      </c>
      <c r="D141" s="30" t="s">
        <v>17</v>
      </c>
      <c r="E141" s="30" t="s">
        <v>31</v>
      </c>
      <c r="F141" s="30" t="s">
        <v>19</v>
      </c>
      <c r="G141" s="30" t="s">
        <v>20</v>
      </c>
      <c r="H141" s="30" t="s">
        <v>21</v>
      </c>
      <c r="I141" s="30" t="s">
        <v>22</v>
      </c>
      <c r="J141" s="30" t="s">
        <v>23</v>
      </c>
      <c r="K141" s="44" t="s">
        <v>24</v>
      </c>
      <c r="L141" s="44" t="s">
        <v>25</v>
      </c>
      <c r="N141" s="17">
        <f t="shared" si="1"/>
        <v>0</v>
      </c>
    </row>
    <row r="142">
      <c r="A142" s="31" t="s">
        <v>26</v>
      </c>
      <c r="B142" s="33">
        <v>27.0</v>
      </c>
      <c r="C142" s="33"/>
      <c r="D142" s="33"/>
      <c r="E142" s="33">
        <v>21.0</v>
      </c>
      <c r="F142" s="33">
        <v>38.0</v>
      </c>
      <c r="G142" s="33"/>
      <c r="H142" s="33"/>
      <c r="I142" s="33">
        <v>32.0</v>
      </c>
      <c r="J142" s="33">
        <v>19.0</v>
      </c>
      <c r="K142" s="73">
        <v>25.0</v>
      </c>
      <c r="L142" s="73">
        <v>70.0</v>
      </c>
      <c r="N142" s="17">
        <f t="shared" si="1"/>
        <v>232</v>
      </c>
    </row>
    <row r="143">
      <c r="A143" s="31" t="s">
        <v>27</v>
      </c>
      <c r="B143" s="33">
        <v>9.0</v>
      </c>
      <c r="C143" s="33"/>
      <c r="D143" s="33"/>
      <c r="E143" s="33"/>
      <c r="F143" s="33"/>
      <c r="G143" s="33"/>
      <c r="H143" s="33"/>
      <c r="I143" s="33"/>
      <c r="J143" s="33"/>
      <c r="K143" s="73">
        <v>3.0</v>
      </c>
      <c r="L143" s="73">
        <v>0.0</v>
      </c>
      <c r="N143" s="17">
        <f t="shared" si="1"/>
        <v>12</v>
      </c>
    </row>
    <row r="144">
      <c r="A144" s="34" t="s">
        <v>28</v>
      </c>
      <c r="B144" s="46">
        <f t="shared" ref="B144:L144" si="28">SUM(B142:B143)</f>
        <v>36</v>
      </c>
      <c r="C144" s="46">
        <f t="shared" si="28"/>
        <v>0</v>
      </c>
      <c r="D144" s="46">
        <f t="shared" si="28"/>
        <v>0</v>
      </c>
      <c r="E144" s="46">
        <f t="shared" si="28"/>
        <v>21</v>
      </c>
      <c r="F144" s="46">
        <f t="shared" si="28"/>
        <v>38</v>
      </c>
      <c r="G144" s="46">
        <f t="shared" si="28"/>
        <v>0</v>
      </c>
      <c r="H144" s="46">
        <f t="shared" si="28"/>
        <v>0</v>
      </c>
      <c r="I144" s="46">
        <f t="shared" si="28"/>
        <v>32</v>
      </c>
      <c r="J144" s="46">
        <f t="shared" si="28"/>
        <v>19</v>
      </c>
      <c r="K144" s="47">
        <f t="shared" si="28"/>
        <v>28</v>
      </c>
      <c r="L144" s="47">
        <f t="shared" si="28"/>
        <v>70</v>
      </c>
      <c r="M144" s="20"/>
      <c r="N144" s="20">
        <f t="shared" si="1"/>
        <v>244</v>
      </c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N145" s="17">
        <f t="shared" si="1"/>
        <v>0</v>
      </c>
    </row>
    <row r="146">
      <c r="A146" s="37">
        <v>45895.0</v>
      </c>
      <c r="B146" s="29"/>
      <c r="C146" s="29"/>
      <c r="D146" s="29"/>
      <c r="E146" s="29"/>
      <c r="F146" s="29"/>
      <c r="G146" s="29"/>
      <c r="H146" s="29"/>
      <c r="I146" s="29"/>
      <c r="J146" s="29"/>
      <c r="K146" s="50"/>
      <c r="L146" s="50"/>
      <c r="N146" s="17">
        <f t="shared" si="1"/>
        <v>0</v>
      </c>
    </row>
    <row r="147">
      <c r="A147" s="30" t="s">
        <v>14</v>
      </c>
      <c r="B147" s="30" t="s">
        <v>29</v>
      </c>
      <c r="C147" s="30" t="s">
        <v>30</v>
      </c>
      <c r="D147" s="30" t="s">
        <v>17</v>
      </c>
      <c r="E147" s="30" t="s">
        <v>31</v>
      </c>
      <c r="F147" s="30" t="s">
        <v>19</v>
      </c>
      <c r="G147" s="30" t="s">
        <v>20</v>
      </c>
      <c r="H147" s="30" t="s">
        <v>21</v>
      </c>
      <c r="I147" s="30" t="s">
        <v>22</v>
      </c>
      <c r="J147" s="30" t="s">
        <v>23</v>
      </c>
      <c r="K147" s="44" t="s">
        <v>24</v>
      </c>
      <c r="L147" s="44" t="s">
        <v>25</v>
      </c>
      <c r="N147" s="17">
        <f t="shared" si="1"/>
        <v>0</v>
      </c>
    </row>
    <row r="148">
      <c r="A148" s="31" t="s">
        <v>26</v>
      </c>
      <c r="B148" s="33">
        <v>27.0</v>
      </c>
      <c r="C148" s="33"/>
      <c r="D148" s="33"/>
      <c r="E148" s="33">
        <v>22.0</v>
      </c>
      <c r="F148" s="33">
        <v>17.0</v>
      </c>
      <c r="G148" s="33"/>
      <c r="H148" s="33"/>
      <c r="I148" s="33">
        <v>15.0</v>
      </c>
      <c r="J148" s="33">
        <v>21.0</v>
      </c>
      <c r="K148" s="73">
        <v>30.0</v>
      </c>
      <c r="L148" s="73">
        <v>80.0</v>
      </c>
      <c r="N148" s="17">
        <f t="shared" si="1"/>
        <v>212</v>
      </c>
    </row>
    <row r="149">
      <c r="A149" s="31" t="s">
        <v>27</v>
      </c>
      <c r="B149" s="33">
        <v>10.0</v>
      </c>
      <c r="C149" s="33"/>
      <c r="D149" s="33"/>
      <c r="E149" s="33"/>
      <c r="F149" s="33"/>
      <c r="G149" s="33"/>
      <c r="H149" s="33"/>
      <c r="I149" s="33"/>
      <c r="J149" s="33">
        <v>266.0</v>
      </c>
      <c r="K149" s="73">
        <v>3.0</v>
      </c>
      <c r="L149" s="73">
        <v>0.0</v>
      </c>
      <c r="N149" s="17">
        <f t="shared" si="1"/>
        <v>279</v>
      </c>
    </row>
    <row r="150">
      <c r="A150" s="34" t="s">
        <v>28</v>
      </c>
      <c r="B150" s="46">
        <f t="shared" ref="B150:L150" si="29">SUM(B148:B149)</f>
        <v>37</v>
      </c>
      <c r="C150" s="46">
        <f t="shared" si="29"/>
        <v>0</v>
      </c>
      <c r="D150" s="46">
        <f t="shared" si="29"/>
        <v>0</v>
      </c>
      <c r="E150" s="46">
        <f t="shared" si="29"/>
        <v>22</v>
      </c>
      <c r="F150" s="46">
        <f t="shared" si="29"/>
        <v>17</v>
      </c>
      <c r="G150" s="46">
        <f t="shared" si="29"/>
        <v>0</v>
      </c>
      <c r="H150" s="46">
        <f t="shared" si="29"/>
        <v>0</v>
      </c>
      <c r="I150" s="46">
        <f t="shared" si="29"/>
        <v>15</v>
      </c>
      <c r="J150" s="46">
        <f t="shared" si="29"/>
        <v>287</v>
      </c>
      <c r="K150" s="47">
        <f t="shared" si="29"/>
        <v>33</v>
      </c>
      <c r="L150" s="47">
        <f t="shared" si="29"/>
        <v>80</v>
      </c>
      <c r="M150" s="20"/>
      <c r="N150" s="20">
        <f t="shared" si="1"/>
        <v>491</v>
      </c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N151" s="17">
        <f t="shared" si="1"/>
        <v>0</v>
      </c>
    </row>
    <row r="152">
      <c r="A152" s="37">
        <v>45896.0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50"/>
      <c r="L152" s="50"/>
      <c r="N152" s="17">
        <f t="shared" si="1"/>
        <v>0</v>
      </c>
    </row>
    <row r="153">
      <c r="A153" s="30" t="s">
        <v>14</v>
      </c>
      <c r="B153" s="30" t="s">
        <v>29</v>
      </c>
      <c r="C153" s="30" t="s">
        <v>30</v>
      </c>
      <c r="D153" s="30" t="s">
        <v>17</v>
      </c>
      <c r="E153" s="30" t="s">
        <v>31</v>
      </c>
      <c r="F153" s="30" t="s">
        <v>19</v>
      </c>
      <c r="G153" s="30" t="s">
        <v>20</v>
      </c>
      <c r="H153" s="30" t="s">
        <v>21</v>
      </c>
      <c r="I153" s="30" t="s">
        <v>22</v>
      </c>
      <c r="J153" s="30" t="s">
        <v>23</v>
      </c>
      <c r="K153" s="44" t="s">
        <v>24</v>
      </c>
      <c r="L153" s="44" t="s">
        <v>25</v>
      </c>
      <c r="N153" s="17">
        <f t="shared" si="1"/>
        <v>0</v>
      </c>
    </row>
    <row r="154">
      <c r="A154" s="31" t="s">
        <v>26</v>
      </c>
      <c r="B154" s="33">
        <v>12.0</v>
      </c>
      <c r="C154" s="33"/>
      <c r="D154" s="33"/>
      <c r="E154" s="33">
        <v>25.0</v>
      </c>
      <c r="F154" s="33">
        <v>19.0</v>
      </c>
      <c r="G154" s="33"/>
      <c r="H154" s="33"/>
      <c r="I154" s="33">
        <v>10.0</v>
      </c>
      <c r="J154" s="33">
        <v>27.0</v>
      </c>
      <c r="K154" s="73">
        <v>29.0</v>
      </c>
      <c r="L154" s="73">
        <v>75.0</v>
      </c>
      <c r="N154" s="17">
        <f t="shared" si="1"/>
        <v>197</v>
      </c>
    </row>
    <row r="155">
      <c r="A155" s="31" t="s">
        <v>27</v>
      </c>
      <c r="B155" s="33">
        <v>7.0</v>
      </c>
      <c r="C155" s="33"/>
      <c r="D155" s="33"/>
      <c r="E155" s="33"/>
      <c r="F155" s="33"/>
      <c r="G155" s="33"/>
      <c r="H155" s="33"/>
      <c r="I155" s="33"/>
      <c r="J155" s="33"/>
      <c r="K155" s="73">
        <v>3.0</v>
      </c>
      <c r="L155" s="73">
        <v>0.0</v>
      </c>
      <c r="N155" s="17">
        <f t="shared" si="1"/>
        <v>10</v>
      </c>
    </row>
    <row r="156">
      <c r="A156" s="34" t="s">
        <v>28</v>
      </c>
      <c r="B156" s="46">
        <f t="shared" ref="B156:L156" si="30">SUM(B154:B155)</f>
        <v>19</v>
      </c>
      <c r="C156" s="46">
        <f t="shared" si="30"/>
        <v>0</v>
      </c>
      <c r="D156" s="46">
        <f t="shared" si="30"/>
        <v>0</v>
      </c>
      <c r="E156" s="46">
        <f t="shared" si="30"/>
        <v>25</v>
      </c>
      <c r="F156" s="46">
        <f t="shared" si="30"/>
        <v>19</v>
      </c>
      <c r="G156" s="46">
        <f t="shared" si="30"/>
        <v>0</v>
      </c>
      <c r="H156" s="46">
        <f t="shared" si="30"/>
        <v>0</v>
      </c>
      <c r="I156" s="46">
        <f t="shared" si="30"/>
        <v>10</v>
      </c>
      <c r="J156" s="46">
        <f t="shared" si="30"/>
        <v>27</v>
      </c>
      <c r="K156" s="47">
        <f t="shared" si="30"/>
        <v>32</v>
      </c>
      <c r="L156" s="47">
        <f t="shared" si="30"/>
        <v>75</v>
      </c>
      <c r="M156" s="20"/>
      <c r="N156" s="20">
        <f t="shared" si="1"/>
        <v>207</v>
      </c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N157" s="17">
        <f t="shared" si="1"/>
        <v>0</v>
      </c>
    </row>
    <row r="158">
      <c r="A158" s="37">
        <v>45897.0</v>
      </c>
      <c r="B158" s="29"/>
      <c r="C158" s="29"/>
      <c r="D158" s="29"/>
      <c r="E158" s="29"/>
      <c r="F158" s="29"/>
      <c r="G158" s="29"/>
      <c r="H158" s="29"/>
      <c r="I158" s="29"/>
      <c r="J158" s="29"/>
      <c r="K158" s="50"/>
      <c r="L158" s="50"/>
      <c r="N158" s="17">
        <f t="shared" si="1"/>
        <v>0</v>
      </c>
    </row>
    <row r="159">
      <c r="A159" s="30" t="s">
        <v>14</v>
      </c>
      <c r="B159" s="30" t="s">
        <v>29</v>
      </c>
      <c r="C159" s="30" t="s">
        <v>30</v>
      </c>
      <c r="D159" s="30" t="s">
        <v>17</v>
      </c>
      <c r="E159" s="30" t="s">
        <v>31</v>
      </c>
      <c r="F159" s="30" t="s">
        <v>19</v>
      </c>
      <c r="G159" s="30" t="s">
        <v>20</v>
      </c>
      <c r="H159" s="30" t="s">
        <v>21</v>
      </c>
      <c r="I159" s="30" t="s">
        <v>22</v>
      </c>
      <c r="J159" s="30" t="s">
        <v>23</v>
      </c>
      <c r="K159" s="44" t="s">
        <v>24</v>
      </c>
      <c r="L159" s="44" t="s">
        <v>25</v>
      </c>
      <c r="N159" s="17">
        <f t="shared" si="1"/>
        <v>0</v>
      </c>
    </row>
    <row r="160">
      <c r="A160" s="31" t="s">
        <v>26</v>
      </c>
      <c r="B160" s="33">
        <v>82.0</v>
      </c>
      <c r="C160" s="33"/>
      <c r="D160" s="33">
        <v>60.0</v>
      </c>
      <c r="E160" s="33">
        <v>28.0</v>
      </c>
      <c r="F160" s="33">
        <v>23.0</v>
      </c>
      <c r="G160" s="33"/>
      <c r="H160" s="33"/>
      <c r="I160" s="33">
        <v>24.0</v>
      </c>
      <c r="J160" s="33">
        <v>31.0</v>
      </c>
      <c r="K160" s="73">
        <v>26.0</v>
      </c>
      <c r="L160" s="73">
        <v>78.0</v>
      </c>
      <c r="N160" s="17">
        <f t="shared" si="1"/>
        <v>352</v>
      </c>
    </row>
    <row r="161">
      <c r="A161" s="31" t="s">
        <v>27</v>
      </c>
      <c r="B161" s="33">
        <v>26.0</v>
      </c>
      <c r="C161" s="33"/>
      <c r="D161" s="33">
        <v>50.0</v>
      </c>
      <c r="E161" s="33">
        <v>100.0</v>
      </c>
      <c r="F161" s="33"/>
      <c r="G161" s="33"/>
      <c r="H161" s="33"/>
      <c r="I161" s="33"/>
      <c r="J161" s="33"/>
      <c r="K161" s="73">
        <v>1.0</v>
      </c>
      <c r="L161" s="73">
        <v>0.0</v>
      </c>
      <c r="N161" s="17">
        <f t="shared" si="1"/>
        <v>177</v>
      </c>
    </row>
    <row r="162">
      <c r="A162" s="34" t="s">
        <v>28</v>
      </c>
      <c r="B162" s="46">
        <f t="shared" ref="B162:L162" si="31">SUM(B160:B161)</f>
        <v>108</v>
      </c>
      <c r="C162" s="46">
        <f t="shared" si="31"/>
        <v>0</v>
      </c>
      <c r="D162" s="46">
        <f t="shared" si="31"/>
        <v>110</v>
      </c>
      <c r="E162" s="46">
        <f t="shared" si="31"/>
        <v>128</v>
      </c>
      <c r="F162" s="46">
        <f t="shared" si="31"/>
        <v>23</v>
      </c>
      <c r="G162" s="46">
        <f t="shared" si="31"/>
        <v>0</v>
      </c>
      <c r="H162" s="46">
        <f t="shared" si="31"/>
        <v>0</v>
      </c>
      <c r="I162" s="46">
        <f t="shared" si="31"/>
        <v>24</v>
      </c>
      <c r="J162" s="46">
        <f t="shared" si="31"/>
        <v>31</v>
      </c>
      <c r="K162" s="47">
        <f t="shared" si="31"/>
        <v>27</v>
      </c>
      <c r="L162" s="47">
        <f t="shared" si="31"/>
        <v>78</v>
      </c>
      <c r="M162" s="20"/>
      <c r="N162" s="20">
        <f t="shared" si="1"/>
        <v>529</v>
      </c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N163" s="17">
        <f t="shared" si="1"/>
        <v>0</v>
      </c>
    </row>
    <row r="164">
      <c r="A164" s="37">
        <v>45898.0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50"/>
      <c r="L164" s="50"/>
      <c r="N164" s="17">
        <f t="shared" si="1"/>
        <v>0</v>
      </c>
    </row>
    <row r="165">
      <c r="A165" s="30" t="s">
        <v>14</v>
      </c>
      <c r="B165" s="30" t="s">
        <v>29</v>
      </c>
      <c r="C165" s="30" t="s">
        <v>30</v>
      </c>
      <c r="D165" s="30" t="s">
        <v>17</v>
      </c>
      <c r="E165" s="30" t="s">
        <v>31</v>
      </c>
      <c r="F165" s="30" t="s">
        <v>19</v>
      </c>
      <c r="G165" s="30" t="s">
        <v>20</v>
      </c>
      <c r="H165" s="30" t="s">
        <v>21</v>
      </c>
      <c r="I165" s="30" t="s">
        <v>22</v>
      </c>
      <c r="J165" s="30" t="s">
        <v>23</v>
      </c>
      <c r="K165" s="44" t="s">
        <v>24</v>
      </c>
      <c r="L165" s="44" t="s">
        <v>25</v>
      </c>
      <c r="N165" s="17">
        <f t="shared" si="1"/>
        <v>0</v>
      </c>
    </row>
    <row r="166">
      <c r="A166" s="31" t="s">
        <v>26</v>
      </c>
      <c r="B166" s="33">
        <v>35.0</v>
      </c>
      <c r="C166" s="33"/>
      <c r="D166" s="33"/>
      <c r="E166" s="33">
        <v>18.0</v>
      </c>
      <c r="F166" s="33">
        <v>14.0</v>
      </c>
      <c r="G166" s="33">
        <v>8.0</v>
      </c>
      <c r="H166" s="33">
        <v>20.0</v>
      </c>
      <c r="I166" s="33">
        <v>18.0</v>
      </c>
      <c r="J166" s="33">
        <v>29.0</v>
      </c>
      <c r="K166" s="73">
        <v>31.0</v>
      </c>
      <c r="L166" s="73">
        <v>78.0</v>
      </c>
      <c r="N166" s="17">
        <f t="shared" si="1"/>
        <v>251</v>
      </c>
    </row>
    <row r="167">
      <c r="A167" s="31" t="s">
        <v>27</v>
      </c>
      <c r="B167" s="33">
        <v>12.0</v>
      </c>
      <c r="C167" s="33"/>
      <c r="D167" s="33"/>
      <c r="E167" s="33"/>
      <c r="F167" s="33"/>
      <c r="G167" s="33">
        <v>16.0</v>
      </c>
      <c r="H167" s="33">
        <v>5.0</v>
      </c>
      <c r="I167" s="33"/>
      <c r="J167" s="33"/>
      <c r="K167" s="73">
        <v>0.0</v>
      </c>
      <c r="L167" s="73">
        <v>3.0</v>
      </c>
      <c r="N167" s="17">
        <f t="shared" si="1"/>
        <v>36</v>
      </c>
    </row>
    <row r="168">
      <c r="A168" s="34" t="s">
        <v>28</v>
      </c>
      <c r="B168" s="46">
        <f t="shared" ref="B168:L168" si="32">SUM(B166:B167)</f>
        <v>47</v>
      </c>
      <c r="C168" s="46">
        <f t="shared" si="32"/>
        <v>0</v>
      </c>
      <c r="D168" s="46">
        <f t="shared" si="32"/>
        <v>0</v>
      </c>
      <c r="E168" s="46">
        <f t="shared" si="32"/>
        <v>18</v>
      </c>
      <c r="F168" s="46">
        <f t="shared" si="32"/>
        <v>14</v>
      </c>
      <c r="G168" s="46">
        <f t="shared" si="32"/>
        <v>24</v>
      </c>
      <c r="H168" s="46">
        <f t="shared" si="32"/>
        <v>25</v>
      </c>
      <c r="I168" s="46">
        <f t="shared" si="32"/>
        <v>18</v>
      </c>
      <c r="J168" s="46">
        <f t="shared" si="32"/>
        <v>29</v>
      </c>
      <c r="K168" s="47">
        <f t="shared" si="32"/>
        <v>31</v>
      </c>
      <c r="L168" s="47">
        <f t="shared" si="32"/>
        <v>81</v>
      </c>
      <c r="M168" s="20"/>
      <c r="N168" s="20">
        <f t="shared" si="1"/>
        <v>287</v>
      </c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N169" s="17">
        <f t="shared" si="1"/>
        <v>0</v>
      </c>
    </row>
    <row r="170">
      <c r="A170" s="37">
        <v>45899.0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50"/>
      <c r="L170" s="50"/>
      <c r="N170" s="17">
        <f t="shared" si="1"/>
        <v>0</v>
      </c>
    </row>
    <row r="171">
      <c r="A171" s="30" t="s">
        <v>14</v>
      </c>
      <c r="B171" s="30" t="s">
        <v>29</v>
      </c>
      <c r="C171" s="30" t="s">
        <v>30</v>
      </c>
      <c r="D171" s="30" t="s">
        <v>17</v>
      </c>
      <c r="E171" s="30" t="s">
        <v>31</v>
      </c>
      <c r="F171" s="30" t="s">
        <v>19</v>
      </c>
      <c r="G171" s="30" t="s">
        <v>20</v>
      </c>
      <c r="H171" s="30" t="s">
        <v>21</v>
      </c>
      <c r="I171" s="30" t="s">
        <v>22</v>
      </c>
      <c r="J171" s="30" t="s">
        <v>23</v>
      </c>
      <c r="K171" s="44" t="s">
        <v>24</v>
      </c>
      <c r="L171" s="44" t="s">
        <v>25</v>
      </c>
      <c r="N171" s="17">
        <f t="shared" si="1"/>
        <v>0</v>
      </c>
    </row>
    <row r="172">
      <c r="A172" s="31" t="s">
        <v>26</v>
      </c>
      <c r="B172" s="33">
        <v>128.0</v>
      </c>
      <c r="C172" s="33">
        <v>13.34</v>
      </c>
      <c r="D172" s="33">
        <v>60.0</v>
      </c>
      <c r="E172" s="33">
        <v>22.0</v>
      </c>
      <c r="F172" s="33">
        <v>16.0</v>
      </c>
      <c r="G172" s="33">
        <v>4.0</v>
      </c>
      <c r="H172" s="33">
        <v>17.0</v>
      </c>
      <c r="I172" s="33">
        <v>25.0</v>
      </c>
      <c r="J172" s="33">
        <v>30.0</v>
      </c>
      <c r="K172" s="73">
        <v>30.0</v>
      </c>
      <c r="L172" s="73">
        <v>89.0</v>
      </c>
      <c r="N172" s="17">
        <f t="shared" si="1"/>
        <v>434.34</v>
      </c>
    </row>
    <row r="173">
      <c r="A173" s="31" t="s">
        <v>27</v>
      </c>
      <c r="B173" s="33">
        <v>36.0</v>
      </c>
      <c r="C173" s="33">
        <v>11.34</v>
      </c>
      <c r="D173" s="33"/>
      <c r="E173" s="33"/>
      <c r="F173" s="33"/>
      <c r="G173" s="33">
        <v>12.0</v>
      </c>
      <c r="H173" s="33">
        <v>7.0</v>
      </c>
      <c r="I173" s="33"/>
      <c r="J173" s="33"/>
      <c r="K173" s="73">
        <v>1.0</v>
      </c>
      <c r="L173" s="73">
        <v>0.0</v>
      </c>
      <c r="N173" s="17">
        <f t="shared" si="1"/>
        <v>67.34</v>
      </c>
    </row>
    <row r="174">
      <c r="A174" s="34" t="s">
        <v>28</v>
      </c>
      <c r="B174" s="46">
        <f t="shared" ref="B174:L174" si="33">SUM(B172:B173)</f>
        <v>164</v>
      </c>
      <c r="C174" s="46">
        <f t="shared" si="33"/>
        <v>24.68</v>
      </c>
      <c r="D174" s="46">
        <f t="shared" si="33"/>
        <v>60</v>
      </c>
      <c r="E174" s="46">
        <f t="shared" si="33"/>
        <v>22</v>
      </c>
      <c r="F174" s="46">
        <f t="shared" si="33"/>
        <v>16</v>
      </c>
      <c r="G174" s="46">
        <f t="shared" si="33"/>
        <v>16</v>
      </c>
      <c r="H174" s="46">
        <f t="shared" si="33"/>
        <v>24</v>
      </c>
      <c r="I174" s="46">
        <f t="shared" si="33"/>
        <v>25</v>
      </c>
      <c r="J174" s="46">
        <f t="shared" si="33"/>
        <v>30</v>
      </c>
      <c r="K174" s="47">
        <f t="shared" si="33"/>
        <v>31</v>
      </c>
      <c r="L174" s="47">
        <f t="shared" si="33"/>
        <v>89</v>
      </c>
      <c r="M174" s="20"/>
      <c r="N174" s="20">
        <f t="shared" si="1"/>
        <v>501.68</v>
      </c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N175" s="17">
        <f t="shared" si="1"/>
        <v>0</v>
      </c>
    </row>
    <row r="176">
      <c r="A176" s="37">
        <v>45900.0</v>
      </c>
      <c r="B176" s="29"/>
      <c r="C176" s="29"/>
      <c r="D176" s="29"/>
      <c r="E176" s="29"/>
      <c r="F176" s="29"/>
      <c r="G176" s="29"/>
      <c r="H176" s="29"/>
      <c r="I176" s="29"/>
      <c r="J176" s="29"/>
      <c r="K176" s="50"/>
      <c r="L176" s="50"/>
      <c r="N176" s="17">
        <f t="shared" si="1"/>
        <v>0</v>
      </c>
    </row>
    <row r="177">
      <c r="A177" s="30" t="s">
        <v>14</v>
      </c>
      <c r="B177" s="30" t="s">
        <v>29</v>
      </c>
      <c r="C177" s="30" t="s">
        <v>30</v>
      </c>
      <c r="D177" s="30" t="s">
        <v>17</v>
      </c>
      <c r="E177" s="30" t="s">
        <v>31</v>
      </c>
      <c r="F177" s="30" t="s">
        <v>19</v>
      </c>
      <c r="G177" s="30" t="s">
        <v>20</v>
      </c>
      <c r="H177" s="30" t="s">
        <v>21</v>
      </c>
      <c r="I177" s="30" t="s">
        <v>22</v>
      </c>
      <c r="J177" s="30" t="s">
        <v>23</v>
      </c>
      <c r="K177" s="44" t="s">
        <v>24</v>
      </c>
      <c r="L177" s="44" t="s">
        <v>25</v>
      </c>
      <c r="N177" s="17">
        <f t="shared" si="1"/>
        <v>0</v>
      </c>
    </row>
    <row r="178">
      <c r="A178" s="31" t="s">
        <v>26</v>
      </c>
      <c r="B178" s="33">
        <v>218.0</v>
      </c>
      <c r="C178" s="33">
        <v>7.39</v>
      </c>
      <c r="D178" s="33"/>
      <c r="E178" s="33">
        <v>28.0</v>
      </c>
      <c r="F178" s="33">
        <v>27.0</v>
      </c>
      <c r="G178" s="33"/>
      <c r="H178" s="33"/>
      <c r="I178" s="33">
        <v>15.0</v>
      </c>
      <c r="J178" s="33">
        <v>35.0</v>
      </c>
      <c r="K178" s="73">
        <v>23.0</v>
      </c>
      <c r="L178" s="73">
        <v>88.0</v>
      </c>
      <c r="N178" s="17">
        <f t="shared" si="1"/>
        <v>441.39</v>
      </c>
    </row>
    <row r="179">
      <c r="A179" s="31" t="s">
        <v>27</v>
      </c>
      <c r="B179" s="33">
        <v>10.0</v>
      </c>
      <c r="C179" s="33">
        <v>7.44</v>
      </c>
      <c r="D179" s="33"/>
      <c r="E179" s="33"/>
      <c r="F179" s="33"/>
      <c r="G179" s="33"/>
      <c r="H179" s="33"/>
      <c r="I179" s="33"/>
      <c r="J179" s="33"/>
      <c r="K179" s="73">
        <v>1.0</v>
      </c>
      <c r="L179" s="73">
        <v>0.0</v>
      </c>
      <c r="N179" s="17">
        <f t="shared" si="1"/>
        <v>18.44</v>
      </c>
    </row>
    <row r="180">
      <c r="A180" s="34" t="s">
        <v>28</v>
      </c>
      <c r="B180" s="46">
        <f t="shared" ref="B180:L180" si="34">SUM(B178:B179)</f>
        <v>228</v>
      </c>
      <c r="C180" s="46">
        <f t="shared" si="34"/>
        <v>14.83</v>
      </c>
      <c r="D180" s="46">
        <f t="shared" si="34"/>
        <v>0</v>
      </c>
      <c r="E180" s="46">
        <f t="shared" si="34"/>
        <v>28</v>
      </c>
      <c r="F180" s="46">
        <f t="shared" si="34"/>
        <v>27</v>
      </c>
      <c r="G180" s="46">
        <f t="shared" si="34"/>
        <v>0</v>
      </c>
      <c r="H180" s="46">
        <f t="shared" si="34"/>
        <v>0</v>
      </c>
      <c r="I180" s="46">
        <f t="shared" si="34"/>
        <v>15</v>
      </c>
      <c r="J180" s="46">
        <f t="shared" si="34"/>
        <v>35</v>
      </c>
      <c r="K180" s="47">
        <f t="shared" si="34"/>
        <v>24</v>
      </c>
      <c r="L180" s="47">
        <f t="shared" si="34"/>
        <v>88</v>
      </c>
      <c r="M180" s="20"/>
      <c r="N180" s="20">
        <f t="shared" si="1"/>
        <v>459.83</v>
      </c>
    </row>
    <row r="181">
      <c r="M181" s="38" t="s">
        <v>32</v>
      </c>
      <c r="N181" s="62">
        <f>sum(N4+N10+N16+N22+N28+N34+N40+N46+N52+N58+N64+N70+N76+N82+N88+N94+N100+N106+N112+N118+N124+N130+N136+N142+N148+N154+N166+N172+N178)</f>
        <v>9163.96</v>
      </c>
    </row>
    <row r="182">
      <c r="M182" s="39" t="s">
        <v>33</v>
      </c>
      <c r="N182" s="40">
        <f>sum(N5+N11+N17+N23+N29+N35+N41+N47+N53+N59+N65+N71+N77+N83+N89+N95+N101+N107+N113+N119+N125+N131+N137+N143+N149+N155+N161+N167+N173+N179)</f>
        <v>2920.19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37">
        <v>45901.0</v>
      </c>
      <c r="B2" s="29"/>
      <c r="C2" s="29"/>
      <c r="D2" s="29"/>
      <c r="E2" s="29"/>
      <c r="F2" s="29"/>
      <c r="G2" s="29"/>
      <c r="H2" s="29"/>
      <c r="I2" s="29"/>
      <c r="J2" s="29"/>
      <c r="K2" s="74"/>
      <c r="L2" s="74"/>
    </row>
    <row r="3">
      <c r="A3" s="30" t="s">
        <v>14</v>
      </c>
      <c r="B3" s="30" t="s">
        <v>29</v>
      </c>
      <c r="C3" s="30" t="s">
        <v>30</v>
      </c>
      <c r="D3" s="30" t="s">
        <v>17</v>
      </c>
      <c r="E3" s="30" t="s">
        <v>31</v>
      </c>
      <c r="F3" s="30" t="s">
        <v>19</v>
      </c>
      <c r="G3" s="30" t="s">
        <v>20</v>
      </c>
      <c r="H3" s="30" t="s">
        <v>21</v>
      </c>
      <c r="I3" s="30" t="s">
        <v>22</v>
      </c>
      <c r="J3" s="30" t="s">
        <v>23</v>
      </c>
      <c r="K3" s="43" t="s">
        <v>24</v>
      </c>
      <c r="L3" s="44" t="s">
        <v>25</v>
      </c>
      <c r="M3" s="75" t="s">
        <v>53</v>
      </c>
      <c r="O3" s="17">
        <f>sum(C3:M3)</f>
        <v>0</v>
      </c>
    </row>
    <row r="4">
      <c r="A4" s="31" t="s">
        <v>26</v>
      </c>
      <c r="B4" s="33">
        <v>70.0</v>
      </c>
      <c r="C4" s="33">
        <v>21.0</v>
      </c>
      <c r="D4" s="33">
        <v>50.0</v>
      </c>
      <c r="E4" s="33">
        <v>12.0</v>
      </c>
      <c r="F4" s="33">
        <v>14.0</v>
      </c>
      <c r="G4" s="33">
        <v>9.0</v>
      </c>
      <c r="H4" s="33">
        <v>14.0</v>
      </c>
      <c r="I4" s="33">
        <v>25.0</v>
      </c>
      <c r="J4" s="33">
        <v>65.0</v>
      </c>
      <c r="K4" s="45">
        <v>25.0</v>
      </c>
      <c r="L4" s="73">
        <v>18.0</v>
      </c>
      <c r="M4" s="73">
        <v>0.0</v>
      </c>
      <c r="O4" s="17">
        <f t="shared" ref="O4:O8" si="1">sum(B4:M4)</f>
        <v>323</v>
      </c>
    </row>
    <row r="5">
      <c r="A5" s="31" t="s">
        <v>27</v>
      </c>
      <c r="B5" s="33">
        <v>32.0</v>
      </c>
      <c r="C5" s="33">
        <v>10.0</v>
      </c>
      <c r="D5" s="33">
        <v>0.0</v>
      </c>
      <c r="E5" s="33">
        <v>9.0</v>
      </c>
      <c r="F5" s="33">
        <v>11.0</v>
      </c>
      <c r="G5" s="33">
        <v>6.0</v>
      </c>
      <c r="H5" s="33">
        <v>4.0</v>
      </c>
      <c r="I5" s="33">
        <v>14.0</v>
      </c>
      <c r="J5" s="33">
        <v>18.0</v>
      </c>
      <c r="K5" s="45">
        <v>2.0</v>
      </c>
      <c r="L5" s="73">
        <v>0.0</v>
      </c>
      <c r="M5" s="73">
        <v>0.0</v>
      </c>
      <c r="O5" s="76">
        <f t="shared" si="1"/>
        <v>106</v>
      </c>
    </row>
    <row r="6">
      <c r="A6" s="34" t="s">
        <v>28</v>
      </c>
      <c r="B6" s="46">
        <f t="shared" ref="B6:M6" si="2">SUM(B4:B5)</f>
        <v>102</v>
      </c>
      <c r="C6" s="46">
        <f t="shared" si="2"/>
        <v>31</v>
      </c>
      <c r="D6" s="46">
        <f t="shared" si="2"/>
        <v>50</v>
      </c>
      <c r="E6" s="46">
        <f t="shared" si="2"/>
        <v>21</v>
      </c>
      <c r="F6" s="46">
        <f t="shared" si="2"/>
        <v>25</v>
      </c>
      <c r="G6" s="46">
        <f t="shared" si="2"/>
        <v>15</v>
      </c>
      <c r="H6" s="46">
        <f t="shared" si="2"/>
        <v>18</v>
      </c>
      <c r="I6" s="46">
        <f t="shared" si="2"/>
        <v>39</v>
      </c>
      <c r="J6" s="46">
        <f t="shared" si="2"/>
        <v>83</v>
      </c>
      <c r="K6" s="47">
        <f t="shared" si="2"/>
        <v>27</v>
      </c>
      <c r="L6" s="47">
        <f t="shared" si="2"/>
        <v>18</v>
      </c>
      <c r="M6" s="47">
        <f t="shared" si="2"/>
        <v>0</v>
      </c>
      <c r="O6" s="20">
        <f t="shared" si="1"/>
        <v>429</v>
      </c>
    </row>
    <row r="7">
      <c r="B7" s="2"/>
      <c r="C7" s="2"/>
      <c r="D7" s="2"/>
      <c r="E7" s="2"/>
      <c r="F7" s="2"/>
      <c r="G7" s="2"/>
      <c r="H7" s="2"/>
      <c r="I7" s="2"/>
      <c r="J7" s="2"/>
      <c r="K7" s="50"/>
      <c r="L7" s="2"/>
      <c r="O7" s="17">
        <f t="shared" si="1"/>
        <v>0</v>
      </c>
    </row>
    <row r="8">
      <c r="A8" s="37">
        <v>45902.0</v>
      </c>
      <c r="B8" s="29"/>
      <c r="C8" s="29"/>
      <c r="D8" s="29"/>
      <c r="E8" s="29"/>
      <c r="F8" s="29"/>
      <c r="G8" s="29"/>
      <c r="H8" s="29"/>
      <c r="I8" s="29"/>
      <c r="J8" s="29"/>
      <c r="K8" s="50"/>
      <c r="L8" s="74"/>
      <c r="O8" s="17">
        <f t="shared" si="1"/>
        <v>0</v>
      </c>
    </row>
    <row r="9">
      <c r="A9" s="30" t="s">
        <v>14</v>
      </c>
      <c r="B9" s="30" t="s">
        <v>29</v>
      </c>
      <c r="C9" s="30" t="s">
        <v>30</v>
      </c>
      <c r="D9" s="30" t="s">
        <v>17</v>
      </c>
      <c r="E9" s="30" t="s">
        <v>31</v>
      </c>
      <c r="F9" s="30" t="s">
        <v>19</v>
      </c>
      <c r="G9" s="30" t="s">
        <v>20</v>
      </c>
      <c r="H9" s="30" t="s">
        <v>21</v>
      </c>
      <c r="I9" s="30" t="s">
        <v>22</v>
      </c>
      <c r="J9" s="30" t="s">
        <v>23</v>
      </c>
      <c r="K9" s="43" t="s">
        <v>24</v>
      </c>
      <c r="L9" s="44" t="s">
        <v>25</v>
      </c>
      <c r="M9" s="75" t="s">
        <v>53</v>
      </c>
      <c r="O9" s="17">
        <f>sum(C9:M9)</f>
        <v>0</v>
      </c>
    </row>
    <row r="10">
      <c r="A10" s="31" t="s">
        <v>26</v>
      </c>
      <c r="B10" s="33">
        <v>131.0</v>
      </c>
      <c r="C10" s="77">
        <v>17.54</v>
      </c>
      <c r="D10" s="33">
        <v>32.0</v>
      </c>
      <c r="E10" s="33">
        <v>8.0</v>
      </c>
      <c r="F10" s="33">
        <v>20.0</v>
      </c>
      <c r="G10" s="33">
        <v>10.0</v>
      </c>
      <c r="H10" s="33">
        <v>16.0</v>
      </c>
      <c r="I10" s="33">
        <v>20.0</v>
      </c>
      <c r="J10" s="33">
        <v>30.0</v>
      </c>
      <c r="K10" s="45">
        <v>8.0</v>
      </c>
      <c r="L10" s="73">
        <v>30.0</v>
      </c>
      <c r="M10" s="73">
        <v>0.0</v>
      </c>
      <c r="O10" s="17">
        <f t="shared" ref="O10:O14" si="3">sum(B10:M10)</f>
        <v>322.54</v>
      </c>
    </row>
    <row r="11">
      <c r="A11" s="31" t="s">
        <v>27</v>
      </c>
      <c r="B11" s="33">
        <v>50.2</v>
      </c>
      <c r="C11" s="33">
        <v>6.31</v>
      </c>
      <c r="D11" s="33">
        <v>40.0</v>
      </c>
      <c r="E11" s="33">
        <v>8.0</v>
      </c>
      <c r="F11" s="33">
        <v>9.0</v>
      </c>
      <c r="G11" s="33">
        <v>15.0</v>
      </c>
      <c r="H11" s="33">
        <v>9.0</v>
      </c>
      <c r="I11" s="33">
        <v>5.0</v>
      </c>
      <c r="J11" s="33">
        <v>84.0</v>
      </c>
      <c r="K11" s="45">
        <v>0.0</v>
      </c>
      <c r="L11" s="73">
        <v>0.0</v>
      </c>
      <c r="M11" s="73">
        <v>0.0</v>
      </c>
      <c r="O11" s="76">
        <f t="shared" si="3"/>
        <v>226.51</v>
      </c>
    </row>
    <row r="12">
      <c r="A12" s="34" t="s">
        <v>28</v>
      </c>
      <c r="B12" s="46">
        <f t="shared" ref="B12:M12" si="4">SUM(B10:B11)</f>
        <v>181.2</v>
      </c>
      <c r="C12" s="78">
        <f t="shared" si="4"/>
        <v>23.85</v>
      </c>
      <c r="D12" s="46">
        <f t="shared" si="4"/>
        <v>72</v>
      </c>
      <c r="E12" s="46">
        <f t="shared" si="4"/>
        <v>16</v>
      </c>
      <c r="F12" s="46">
        <f t="shared" si="4"/>
        <v>29</v>
      </c>
      <c r="G12" s="46">
        <f t="shared" si="4"/>
        <v>25</v>
      </c>
      <c r="H12" s="46">
        <f t="shared" si="4"/>
        <v>25</v>
      </c>
      <c r="I12" s="46">
        <f t="shared" si="4"/>
        <v>25</v>
      </c>
      <c r="J12" s="46">
        <f t="shared" si="4"/>
        <v>114</v>
      </c>
      <c r="K12" s="47">
        <f t="shared" si="4"/>
        <v>8</v>
      </c>
      <c r="L12" s="47">
        <f t="shared" si="4"/>
        <v>30</v>
      </c>
      <c r="M12" s="47">
        <f t="shared" si="4"/>
        <v>0</v>
      </c>
      <c r="O12" s="20">
        <f t="shared" si="3"/>
        <v>549.05</v>
      </c>
    </row>
    <row r="13">
      <c r="B13" s="2"/>
      <c r="C13" s="2"/>
      <c r="D13" s="2"/>
      <c r="E13" s="2"/>
      <c r="F13" s="2"/>
      <c r="G13" s="2"/>
      <c r="H13" s="2"/>
      <c r="I13" s="2"/>
      <c r="J13" s="2"/>
      <c r="K13" s="50"/>
      <c r="L13" s="2"/>
      <c r="O13" s="17">
        <f t="shared" si="3"/>
        <v>0</v>
      </c>
    </row>
    <row r="14">
      <c r="A14" s="37">
        <v>45903.0</v>
      </c>
      <c r="B14" s="29"/>
      <c r="C14" s="29"/>
      <c r="D14" s="29"/>
      <c r="E14" s="29"/>
      <c r="F14" s="29"/>
      <c r="G14" s="29"/>
      <c r="H14" s="29"/>
      <c r="I14" s="29"/>
      <c r="J14" s="29"/>
      <c r="K14" s="50"/>
      <c r="L14" s="74"/>
      <c r="O14" s="17">
        <f t="shared" si="3"/>
        <v>0</v>
      </c>
    </row>
    <row r="15">
      <c r="A15" s="30" t="s">
        <v>14</v>
      </c>
      <c r="B15" s="30" t="s">
        <v>29</v>
      </c>
      <c r="C15" s="30" t="s">
        <v>30</v>
      </c>
      <c r="D15" s="30" t="s">
        <v>17</v>
      </c>
      <c r="E15" s="30" t="s">
        <v>31</v>
      </c>
      <c r="F15" s="30" t="s">
        <v>19</v>
      </c>
      <c r="G15" s="30" t="s">
        <v>20</v>
      </c>
      <c r="H15" s="30" t="s">
        <v>21</v>
      </c>
      <c r="I15" s="30" t="s">
        <v>22</v>
      </c>
      <c r="J15" s="30" t="s">
        <v>23</v>
      </c>
      <c r="K15" s="43" t="s">
        <v>24</v>
      </c>
      <c r="L15" s="44" t="s">
        <v>25</v>
      </c>
      <c r="M15" s="75" t="s">
        <v>53</v>
      </c>
      <c r="O15" s="17">
        <f>sum(C15:M15)</f>
        <v>0</v>
      </c>
    </row>
    <row r="16">
      <c r="A16" s="31" t="s">
        <v>26</v>
      </c>
      <c r="B16" s="33">
        <v>82.0</v>
      </c>
      <c r="C16" s="33">
        <v>8.41</v>
      </c>
      <c r="D16" s="33">
        <v>63.0</v>
      </c>
      <c r="E16" s="33">
        <v>30.0</v>
      </c>
      <c r="F16" s="33">
        <v>14.0</v>
      </c>
      <c r="G16" s="33">
        <v>11.0</v>
      </c>
      <c r="H16" s="33">
        <v>13.0</v>
      </c>
      <c r="I16" s="33">
        <v>18.0</v>
      </c>
      <c r="J16" s="33">
        <v>25.0</v>
      </c>
      <c r="K16" s="45">
        <v>8.0</v>
      </c>
      <c r="L16" s="73">
        <v>32.0</v>
      </c>
      <c r="M16" s="73">
        <v>0.0</v>
      </c>
      <c r="O16" s="17">
        <f t="shared" ref="O16:O20" si="5">sum(B16:M16)</f>
        <v>304.41</v>
      </c>
    </row>
    <row r="17">
      <c r="A17" s="31" t="s">
        <v>27</v>
      </c>
      <c r="B17" s="33">
        <v>34.0</v>
      </c>
      <c r="C17" s="33">
        <v>3.51</v>
      </c>
      <c r="D17" s="33">
        <v>0.0</v>
      </c>
      <c r="E17" s="33">
        <v>10.0</v>
      </c>
      <c r="F17" s="33">
        <v>5.0</v>
      </c>
      <c r="G17" s="33">
        <v>4.0</v>
      </c>
      <c r="H17" s="33">
        <v>5.0</v>
      </c>
      <c r="I17" s="33">
        <v>8.0</v>
      </c>
      <c r="J17" s="33">
        <v>11.0</v>
      </c>
      <c r="K17" s="45">
        <v>2.0</v>
      </c>
      <c r="L17" s="73">
        <v>0.0</v>
      </c>
      <c r="M17" s="73">
        <v>0.0</v>
      </c>
      <c r="O17" s="76">
        <f t="shared" si="5"/>
        <v>82.51</v>
      </c>
    </row>
    <row r="18">
      <c r="A18" s="34" t="s">
        <v>28</v>
      </c>
      <c r="B18" s="46">
        <f t="shared" ref="B18:M18" si="6">SUM(B16:B17)</f>
        <v>116</v>
      </c>
      <c r="C18" s="46">
        <f t="shared" si="6"/>
        <v>11.92</v>
      </c>
      <c r="D18" s="46">
        <f t="shared" si="6"/>
        <v>63</v>
      </c>
      <c r="E18" s="46">
        <f t="shared" si="6"/>
        <v>40</v>
      </c>
      <c r="F18" s="46">
        <f t="shared" si="6"/>
        <v>19</v>
      </c>
      <c r="G18" s="46">
        <f t="shared" si="6"/>
        <v>15</v>
      </c>
      <c r="H18" s="46">
        <f t="shared" si="6"/>
        <v>18</v>
      </c>
      <c r="I18" s="46">
        <f t="shared" si="6"/>
        <v>26</v>
      </c>
      <c r="J18" s="46">
        <f t="shared" si="6"/>
        <v>36</v>
      </c>
      <c r="K18" s="47">
        <f t="shared" si="6"/>
        <v>10</v>
      </c>
      <c r="L18" s="47">
        <f t="shared" si="6"/>
        <v>32</v>
      </c>
      <c r="M18" s="47">
        <f t="shared" si="6"/>
        <v>0</v>
      </c>
      <c r="O18" s="20">
        <f t="shared" si="5"/>
        <v>386.92</v>
      </c>
    </row>
    <row r="19">
      <c r="B19" s="2"/>
      <c r="C19" s="2"/>
      <c r="D19" s="2"/>
      <c r="E19" s="2"/>
      <c r="F19" s="2"/>
      <c r="G19" s="2"/>
      <c r="H19" s="2"/>
      <c r="I19" s="2"/>
      <c r="J19" s="2"/>
      <c r="K19" s="50"/>
      <c r="L19" s="2"/>
      <c r="O19" s="17">
        <f t="shared" si="5"/>
        <v>0</v>
      </c>
    </row>
    <row r="20">
      <c r="A20" s="37">
        <v>45904.0</v>
      </c>
      <c r="B20" s="29"/>
      <c r="C20" s="29"/>
      <c r="D20" s="29"/>
      <c r="E20" s="29"/>
      <c r="F20" s="29"/>
      <c r="G20" s="29"/>
      <c r="H20" s="29"/>
      <c r="I20" s="29"/>
      <c r="J20" s="29"/>
      <c r="K20" s="50"/>
      <c r="L20" s="74"/>
      <c r="O20" s="17">
        <f t="shared" si="5"/>
        <v>0</v>
      </c>
    </row>
    <row r="21">
      <c r="A21" s="30" t="s">
        <v>14</v>
      </c>
      <c r="B21" s="30" t="s">
        <v>29</v>
      </c>
      <c r="C21" s="30" t="s">
        <v>30</v>
      </c>
      <c r="D21" s="30" t="s">
        <v>17</v>
      </c>
      <c r="E21" s="30" t="s">
        <v>31</v>
      </c>
      <c r="F21" s="30" t="s">
        <v>19</v>
      </c>
      <c r="G21" s="30" t="s">
        <v>20</v>
      </c>
      <c r="H21" s="30" t="s">
        <v>21</v>
      </c>
      <c r="I21" s="30" t="s">
        <v>22</v>
      </c>
      <c r="J21" s="30" t="s">
        <v>23</v>
      </c>
      <c r="K21" s="43" t="s">
        <v>24</v>
      </c>
      <c r="L21" s="44" t="s">
        <v>25</v>
      </c>
      <c r="M21" s="75" t="s">
        <v>53</v>
      </c>
      <c r="O21" s="17">
        <f>sum(C21:M21)</f>
        <v>0</v>
      </c>
    </row>
    <row r="22">
      <c r="A22" s="31" t="s">
        <v>26</v>
      </c>
      <c r="B22" s="33">
        <f>52+34</f>
        <v>86</v>
      </c>
      <c r="C22" s="33">
        <v>10.82</v>
      </c>
      <c r="D22" s="33">
        <v>40.0</v>
      </c>
      <c r="E22" s="33">
        <v>23.0</v>
      </c>
      <c r="F22" s="33">
        <v>17.0</v>
      </c>
      <c r="G22" s="33">
        <v>7.0</v>
      </c>
      <c r="H22" s="33">
        <v>12.0</v>
      </c>
      <c r="I22" s="33">
        <v>30.0</v>
      </c>
      <c r="J22" s="33">
        <v>21.0</v>
      </c>
      <c r="K22" s="45">
        <v>8.0</v>
      </c>
      <c r="L22" s="73">
        <v>40.0</v>
      </c>
      <c r="M22" s="73">
        <v>0.0</v>
      </c>
      <c r="O22" s="17">
        <f t="shared" ref="O22:O26" si="7">sum(B22:M22)</f>
        <v>294.82</v>
      </c>
    </row>
    <row r="23">
      <c r="A23" s="31" t="s">
        <v>27</v>
      </c>
      <c r="B23" s="33">
        <f>14+27</f>
        <v>41</v>
      </c>
      <c r="C23" s="33">
        <v>27.0</v>
      </c>
      <c r="D23" s="33">
        <v>0.0</v>
      </c>
      <c r="E23" s="33">
        <v>11.0</v>
      </c>
      <c r="F23" s="33">
        <v>7.0</v>
      </c>
      <c r="G23" s="33">
        <v>4.0</v>
      </c>
      <c r="H23" s="33">
        <v>4.0</v>
      </c>
      <c r="I23" s="33">
        <v>10.0</v>
      </c>
      <c r="J23" s="33">
        <v>13.0</v>
      </c>
      <c r="K23" s="45">
        <v>0.0</v>
      </c>
      <c r="L23" s="73">
        <v>0.0</v>
      </c>
      <c r="M23" s="73">
        <v>0.0</v>
      </c>
      <c r="O23" s="76">
        <f t="shared" si="7"/>
        <v>117</v>
      </c>
    </row>
    <row r="24">
      <c r="A24" s="34" t="s">
        <v>28</v>
      </c>
      <c r="B24" s="46">
        <f t="shared" ref="B24:M24" si="8">SUM(B22:B23)</f>
        <v>127</v>
      </c>
      <c r="C24" s="46">
        <f t="shared" si="8"/>
        <v>37.82</v>
      </c>
      <c r="D24" s="46">
        <f t="shared" si="8"/>
        <v>40</v>
      </c>
      <c r="E24" s="46">
        <f t="shared" si="8"/>
        <v>34</v>
      </c>
      <c r="F24" s="46">
        <f t="shared" si="8"/>
        <v>24</v>
      </c>
      <c r="G24" s="46">
        <f t="shared" si="8"/>
        <v>11</v>
      </c>
      <c r="H24" s="46">
        <f t="shared" si="8"/>
        <v>16</v>
      </c>
      <c r="I24" s="46">
        <f t="shared" si="8"/>
        <v>40</v>
      </c>
      <c r="J24" s="46">
        <f t="shared" si="8"/>
        <v>34</v>
      </c>
      <c r="K24" s="47">
        <f t="shared" si="8"/>
        <v>8</v>
      </c>
      <c r="L24" s="47">
        <f t="shared" si="8"/>
        <v>40</v>
      </c>
      <c r="M24" s="47">
        <f t="shared" si="8"/>
        <v>0</v>
      </c>
      <c r="O24" s="20">
        <f t="shared" si="7"/>
        <v>411.82</v>
      </c>
    </row>
    <row r="25">
      <c r="B25" s="2"/>
      <c r="C25" s="2"/>
      <c r="D25" s="2"/>
      <c r="E25" s="2"/>
      <c r="F25" s="2"/>
      <c r="G25" s="2"/>
      <c r="H25" s="2"/>
      <c r="I25" s="2"/>
      <c r="J25" s="2"/>
      <c r="K25" s="54"/>
      <c r="L25" s="2"/>
      <c r="O25" s="17">
        <f t="shared" si="7"/>
        <v>0</v>
      </c>
    </row>
    <row r="26">
      <c r="A26" s="37">
        <v>45905.0</v>
      </c>
      <c r="B26" s="29"/>
      <c r="C26" s="29"/>
      <c r="D26" s="29"/>
      <c r="E26" s="29"/>
      <c r="F26" s="29"/>
      <c r="G26" s="29"/>
      <c r="H26" s="29"/>
      <c r="I26" s="29"/>
      <c r="J26" s="29"/>
      <c r="K26" s="50"/>
      <c r="L26" s="74"/>
      <c r="O26" s="17">
        <f t="shared" si="7"/>
        <v>0</v>
      </c>
    </row>
    <row r="27">
      <c r="A27" s="30" t="s">
        <v>14</v>
      </c>
      <c r="B27" s="30" t="s">
        <v>29</v>
      </c>
      <c r="C27" s="30" t="s">
        <v>30</v>
      </c>
      <c r="D27" s="30" t="s">
        <v>17</v>
      </c>
      <c r="E27" s="30" t="s">
        <v>31</v>
      </c>
      <c r="F27" s="30" t="s">
        <v>19</v>
      </c>
      <c r="G27" s="30" t="s">
        <v>20</v>
      </c>
      <c r="H27" s="30" t="s">
        <v>21</v>
      </c>
      <c r="I27" s="30" t="s">
        <v>22</v>
      </c>
      <c r="J27" s="30" t="s">
        <v>23</v>
      </c>
      <c r="K27" s="44" t="s">
        <v>24</v>
      </c>
      <c r="L27" s="44" t="s">
        <v>25</v>
      </c>
      <c r="M27" s="75" t="s">
        <v>53</v>
      </c>
      <c r="O27" s="17">
        <f>sum(C27:M27)</f>
        <v>0</v>
      </c>
    </row>
    <row r="28">
      <c r="A28" s="31" t="s">
        <v>26</v>
      </c>
      <c r="B28" s="33">
        <v>98.0</v>
      </c>
      <c r="C28" s="33">
        <v>9.14</v>
      </c>
      <c r="D28" s="33">
        <v>48.0</v>
      </c>
      <c r="E28" s="33">
        <v>19.0</v>
      </c>
      <c r="F28" s="33">
        <v>15.0</v>
      </c>
      <c r="G28" s="33">
        <v>9.0</v>
      </c>
      <c r="H28" s="33">
        <v>17.0</v>
      </c>
      <c r="I28" s="33">
        <v>23.0</v>
      </c>
      <c r="J28" s="33">
        <v>29.0</v>
      </c>
      <c r="K28" s="45">
        <v>25.0</v>
      </c>
      <c r="L28" s="73">
        <v>12.5</v>
      </c>
      <c r="M28" s="73">
        <v>0.0</v>
      </c>
      <c r="O28" s="17">
        <f t="shared" ref="O28:O32" si="9">sum(B28:M28)</f>
        <v>304.64</v>
      </c>
    </row>
    <row r="29">
      <c r="A29" s="31" t="s">
        <v>27</v>
      </c>
      <c r="B29" s="33">
        <v>47.0</v>
      </c>
      <c r="C29" s="33">
        <v>7.14</v>
      </c>
      <c r="D29" s="33">
        <v>0.0</v>
      </c>
      <c r="E29" s="33">
        <v>10.0</v>
      </c>
      <c r="F29" s="33">
        <v>12.0</v>
      </c>
      <c r="G29" s="79">
        <v>16.0</v>
      </c>
      <c r="H29" s="33">
        <v>8.0</v>
      </c>
      <c r="I29" s="33">
        <v>20.0</v>
      </c>
      <c r="J29" s="33">
        <v>12.0</v>
      </c>
      <c r="K29" s="45">
        <v>2.0</v>
      </c>
      <c r="L29" s="73">
        <v>0.0</v>
      </c>
      <c r="M29" s="73">
        <v>0.0</v>
      </c>
      <c r="O29" s="76">
        <f t="shared" si="9"/>
        <v>134.14</v>
      </c>
    </row>
    <row r="30">
      <c r="A30" s="34" t="s">
        <v>28</v>
      </c>
      <c r="B30" s="46">
        <f t="shared" ref="B30:M30" si="10">SUM(B28:B29)</f>
        <v>145</v>
      </c>
      <c r="C30" s="46">
        <f t="shared" si="10"/>
        <v>16.28</v>
      </c>
      <c r="D30" s="46">
        <f t="shared" si="10"/>
        <v>48</v>
      </c>
      <c r="E30" s="46">
        <f t="shared" si="10"/>
        <v>29</v>
      </c>
      <c r="F30" s="46">
        <f t="shared" si="10"/>
        <v>27</v>
      </c>
      <c r="G30" s="46">
        <f t="shared" si="10"/>
        <v>25</v>
      </c>
      <c r="H30" s="46">
        <f t="shared" si="10"/>
        <v>25</v>
      </c>
      <c r="I30" s="46">
        <f t="shared" si="10"/>
        <v>43</v>
      </c>
      <c r="J30" s="46">
        <f t="shared" si="10"/>
        <v>41</v>
      </c>
      <c r="K30" s="47">
        <f t="shared" si="10"/>
        <v>27</v>
      </c>
      <c r="L30" s="47">
        <f t="shared" si="10"/>
        <v>12.5</v>
      </c>
      <c r="M30" s="47">
        <f t="shared" si="10"/>
        <v>0</v>
      </c>
      <c r="O30" s="20">
        <f t="shared" si="9"/>
        <v>438.78</v>
      </c>
    </row>
    <row r="31">
      <c r="B31" s="2"/>
      <c r="C31" s="2"/>
      <c r="D31" s="2"/>
      <c r="E31" s="2"/>
      <c r="F31" s="2"/>
      <c r="G31" s="2"/>
      <c r="H31" s="2"/>
      <c r="I31" s="2"/>
      <c r="J31" s="2"/>
      <c r="K31" s="50"/>
      <c r="L31" s="2"/>
      <c r="O31" s="17">
        <f t="shared" si="9"/>
        <v>0</v>
      </c>
    </row>
    <row r="32">
      <c r="A32" s="37">
        <v>45906.0</v>
      </c>
      <c r="B32" s="29"/>
      <c r="C32" s="29"/>
      <c r="D32" s="29"/>
      <c r="E32" s="29"/>
      <c r="F32" s="29"/>
      <c r="G32" s="29"/>
      <c r="H32" s="29"/>
      <c r="I32" s="29"/>
      <c r="J32" s="29"/>
      <c r="K32" s="50"/>
      <c r="L32" s="74"/>
      <c r="O32" s="17">
        <f t="shared" si="9"/>
        <v>0</v>
      </c>
    </row>
    <row r="33">
      <c r="A33" s="30" t="s">
        <v>14</v>
      </c>
      <c r="B33" s="30" t="s">
        <v>29</v>
      </c>
      <c r="C33" s="30" t="s">
        <v>30</v>
      </c>
      <c r="D33" s="30" t="s">
        <v>17</v>
      </c>
      <c r="E33" s="30" t="s">
        <v>31</v>
      </c>
      <c r="F33" s="30" t="s">
        <v>19</v>
      </c>
      <c r="G33" s="30" t="s">
        <v>20</v>
      </c>
      <c r="H33" s="30" t="s">
        <v>21</v>
      </c>
      <c r="I33" s="30" t="s">
        <v>22</v>
      </c>
      <c r="J33" s="30" t="s">
        <v>23</v>
      </c>
      <c r="K33" s="44" t="s">
        <v>24</v>
      </c>
      <c r="L33" s="44" t="s">
        <v>25</v>
      </c>
      <c r="M33" s="75" t="s">
        <v>53</v>
      </c>
      <c r="O33" s="17">
        <f>sum(C33:M33)</f>
        <v>0</v>
      </c>
    </row>
    <row r="34">
      <c r="A34" s="31" t="s">
        <v>26</v>
      </c>
      <c r="B34" s="33">
        <v>87.0</v>
      </c>
      <c r="C34" s="33">
        <v>5.48</v>
      </c>
      <c r="D34" s="33">
        <v>60.0</v>
      </c>
      <c r="E34" s="33">
        <v>25.0</v>
      </c>
      <c r="F34" s="33">
        <v>16.0</v>
      </c>
      <c r="G34" s="33">
        <v>9.0</v>
      </c>
      <c r="H34" s="33">
        <v>15.0</v>
      </c>
      <c r="I34" s="33">
        <v>24.0</v>
      </c>
      <c r="J34" s="33">
        <v>26.0</v>
      </c>
      <c r="K34" s="45">
        <v>8.0</v>
      </c>
      <c r="L34" s="73">
        <v>0.0</v>
      </c>
      <c r="M34" s="73">
        <v>0.0</v>
      </c>
      <c r="O34" s="17">
        <f t="shared" ref="O34:O38" si="11">sum(B34:M34)</f>
        <v>275.48</v>
      </c>
    </row>
    <row r="35">
      <c r="A35" s="31" t="s">
        <v>27</v>
      </c>
      <c r="B35" s="33">
        <v>36.0</v>
      </c>
      <c r="C35" s="33">
        <v>16.64</v>
      </c>
      <c r="D35" s="33">
        <v>0.0</v>
      </c>
      <c r="E35" s="33">
        <v>15.0</v>
      </c>
      <c r="F35" s="33">
        <v>6.0</v>
      </c>
      <c r="G35" s="33">
        <v>3.0</v>
      </c>
      <c r="H35" s="33">
        <v>8.0</v>
      </c>
      <c r="I35" s="33">
        <v>18.0</v>
      </c>
      <c r="J35" s="33">
        <v>7.0</v>
      </c>
      <c r="K35" s="45">
        <v>0.0</v>
      </c>
      <c r="L35" s="73">
        <v>0.0</v>
      </c>
      <c r="M35" s="73">
        <v>0.0</v>
      </c>
      <c r="O35" s="76">
        <f t="shared" si="11"/>
        <v>109.64</v>
      </c>
    </row>
    <row r="36">
      <c r="A36" s="34" t="s">
        <v>28</v>
      </c>
      <c r="B36" s="46">
        <f t="shared" ref="B36:M36" si="12">SUM(B34:B35)</f>
        <v>123</v>
      </c>
      <c r="C36" s="46">
        <f t="shared" si="12"/>
        <v>22.12</v>
      </c>
      <c r="D36" s="46">
        <f t="shared" si="12"/>
        <v>60</v>
      </c>
      <c r="E36" s="46">
        <f t="shared" si="12"/>
        <v>40</v>
      </c>
      <c r="F36" s="46">
        <f t="shared" si="12"/>
        <v>22</v>
      </c>
      <c r="G36" s="46">
        <f t="shared" si="12"/>
        <v>12</v>
      </c>
      <c r="H36" s="46">
        <f t="shared" si="12"/>
        <v>23</v>
      </c>
      <c r="I36" s="46">
        <f t="shared" si="12"/>
        <v>42</v>
      </c>
      <c r="J36" s="46">
        <f t="shared" si="12"/>
        <v>33</v>
      </c>
      <c r="K36" s="47">
        <f t="shared" si="12"/>
        <v>8</v>
      </c>
      <c r="L36" s="47">
        <f t="shared" si="12"/>
        <v>0</v>
      </c>
      <c r="M36" s="47">
        <f t="shared" si="12"/>
        <v>0</v>
      </c>
      <c r="O36" s="20">
        <f t="shared" si="11"/>
        <v>385.12</v>
      </c>
    </row>
    <row r="37">
      <c r="B37" s="2"/>
      <c r="C37" s="2"/>
      <c r="D37" s="2"/>
      <c r="E37" s="2"/>
      <c r="F37" s="2"/>
      <c r="G37" s="2"/>
      <c r="H37" s="2"/>
      <c r="I37" s="2"/>
      <c r="J37" s="2"/>
      <c r="K37" s="50"/>
      <c r="L37" s="2"/>
      <c r="O37" s="17">
        <f t="shared" si="11"/>
        <v>0</v>
      </c>
    </row>
    <row r="38">
      <c r="A38" s="37">
        <v>45907.0</v>
      </c>
      <c r="B38" s="29"/>
      <c r="C38" s="29"/>
      <c r="D38" s="29"/>
      <c r="E38" s="29"/>
      <c r="F38" s="29"/>
      <c r="G38" s="29"/>
      <c r="H38" s="29"/>
      <c r="I38" s="29"/>
      <c r="J38" s="29"/>
      <c r="K38" s="50"/>
      <c r="L38" s="74"/>
      <c r="O38" s="17">
        <f t="shared" si="11"/>
        <v>0</v>
      </c>
    </row>
    <row r="39">
      <c r="A39" s="30" t="s">
        <v>14</v>
      </c>
      <c r="B39" s="30" t="s">
        <v>29</v>
      </c>
      <c r="C39" s="30" t="s">
        <v>30</v>
      </c>
      <c r="D39" s="30" t="s">
        <v>17</v>
      </c>
      <c r="E39" s="30" t="s">
        <v>31</v>
      </c>
      <c r="F39" s="30" t="s">
        <v>19</v>
      </c>
      <c r="G39" s="30" t="s">
        <v>20</v>
      </c>
      <c r="H39" s="30" t="s">
        <v>21</v>
      </c>
      <c r="I39" s="30" t="s">
        <v>22</v>
      </c>
      <c r="J39" s="30" t="s">
        <v>23</v>
      </c>
      <c r="K39" s="44" t="s">
        <v>24</v>
      </c>
      <c r="L39" s="44" t="s">
        <v>25</v>
      </c>
      <c r="M39" s="75" t="s">
        <v>53</v>
      </c>
      <c r="O39" s="17">
        <f>sum(C39:M39)</f>
        <v>0</v>
      </c>
    </row>
    <row r="40">
      <c r="A40" s="31" t="s">
        <v>26</v>
      </c>
      <c r="B40" s="33">
        <v>38.0</v>
      </c>
      <c r="C40" s="33">
        <v>11.54</v>
      </c>
      <c r="D40" s="33">
        <v>30.0</v>
      </c>
      <c r="E40" s="33">
        <v>11.0</v>
      </c>
      <c r="F40" s="33">
        <v>10.0</v>
      </c>
      <c r="G40" s="33">
        <v>10.0</v>
      </c>
      <c r="H40" s="33">
        <v>21.0</v>
      </c>
      <c r="I40" s="33">
        <v>28.0</v>
      </c>
      <c r="J40" s="33">
        <v>23.0</v>
      </c>
      <c r="K40" s="45">
        <v>24.0</v>
      </c>
      <c r="L40" s="73">
        <v>0.0</v>
      </c>
      <c r="M40" s="73">
        <v>0.0</v>
      </c>
      <c r="O40" s="17">
        <f t="shared" ref="O40:O44" si="13">sum(B40:M40)</f>
        <v>206.54</v>
      </c>
    </row>
    <row r="41">
      <c r="A41" s="31" t="s">
        <v>27</v>
      </c>
      <c r="B41" s="33">
        <v>14.0</v>
      </c>
      <c r="C41" s="33">
        <v>2.13</v>
      </c>
      <c r="D41" s="33">
        <v>0.0</v>
      </c>
      <c r="E41" s="33">
        <v>4.0</v>
      </c>
      <c r="F41" s="33">
        <v>5.0</v>
      </c>
      <c r="G41" s="33">
        <v>15.0</v>
      </c>
      <c r="H41" s="33">
        <v>11.0</v>
      </c>
      <c r="I41" s="33">
        <v>12.0</v>
      </c>
      <c r="J41" s="33">
        <v>9.0</v>
      </c>
      <c r="K41" s="45">
        <v>2.0</v>
      </c>
      <c r="L41" s="73">
        <v>0.0</v>
      </c>
      <c r="M41" s="73">
        <v>0.0</v>
      </c>
      <c r="O41" s="76">
        <f t="shared" si="13"/>
        <v>74.13</v>
      </c>
    </row>
    <row r="42">
      <c r="A42" s="34" t="s">
        <v>28</v>
      </c>
      <c r="B42" s="46">
        <f t="shared" ref="B42:M42" si="14">SUM(B40:B41)</f>
        <v>52</v>
      </c>
      <c r="C42" s="46">
        <f t="shared" si="14"/>
        <v>13.67</v>
      </c>
      <c r="D42" s="46">
        <f t="shared" si="14"/>
        <v>30</v>
      </c>
      <c r="E42" s="46">
        <f t="shared" si="14"/>
        <v>15</v>
      </c>
      <c r="F42" s="46">
        <f t="shared" si="14"/>
        <v>15</v>
      </c>
      <c r="G42" s="46">
        <f t="shared" si="14"/>
        <v>25</v>
      </c>
      <c r="H42" s="46">
        <f t="shared" si="14"/>
        <v>32</v>
      </c>
      <c r="I42" s="46">
        <f t="shared" si="14"/>
        <v>40</v>
      </c>
      <c r="J42" s="46">
        <f t="shared" si="14"/>
        <v>32</v>
      </c>
      <c r="K42" s="47">
        <f t="shared" si="14"/>
        <v>26</v>
      </c>
      <c r="L42" s="47">
        <f t="shared" si="14"/>
        <v>0</v>
      </c>
      <c r="M42" s="47">
        <f t="shared" si="14"/>
        <v>0</v>
      </c>
      <c r="O42" s="20">
        <f t="shared" si="13"/>
        <v>280.67</v>
      </c>
    </row>
    <row r="43">
      <c r="B43" s="2"/>
      <c r="C43" s="2"/>
      <c r="D43" s="2"/>
      <c r="E43" s="2"/>
      <c r="F43" s="2"/>
      <c r="G43" s="2"/>
      <c r="H43" s="2"/>
      <c r="I43" s="2"/>
      <c r="J43" s="2"/>
      <c r="K43" s="50"/>
      <c r="L43" s="2"/>
      <c r="O43" s="17">
        <f t="shared" si="13"/>
        <v>0</v>
      </c>
    </row>
    <row r="44">
      <c r="A44" s="37">
        <v>45908.0</v>
      </c>
      <c r="B44" s="29"/>
      <c r="C44" s="29"/>
      <c r="D44" s="29"/>
      <c r="E44" s="29"/>
      <c r="F44" s="29"/>
      <c r="G44" s="29"/>
      <c r="H44" s="29"/>
      <c r="I44" s="29"/>
      <c r="J44" s="29"/>
      <c r="K44" s="50"/>
      <c r="L44" s="74"/>
      <c r="O44" s="17">
        <f t="shared" si="13"/>
        <v>0</v>
      </c>
    </row>
    <row r="45">
      <c r="A45" s="30" t="s">
        <v>14</v>
      </c>
      <c r="B45" s="30" t="s">
        <v>29</v>
      </c>
      <c r="C45" s="30" t="s">
        <v>30</v>
      </c>
      <c r="D45" s="30" t="s">
        <v>17</v>
      </c>
      <c r="E45" s="30" t="s">
        <v>31</v>
      </c>
      <c r="F45" s="30" t="s">
        <v>19</v>
      </c>
      <c r="G45" s="30" t="s">
        <v>20</v>
      </c>
      <c r="H45" s="30" t="s">
        <v>21</v>
      </c>
      <c r="I45" s="30" t="s">
        <v>22</v>
      </c>
      <c r="J45" s="30" t="s">
        <v>23</v>
      </c>
      <c r="K45" s="44" t="s">
        <v>24</v>
      </c>
      <c r="L45" s="44" t="s">
        <v>25</v>
      </c>
      <c r="M45" s="75" t="s">
        <v>53</v>
      </c>
      <c r="O45" s="17">
        <f>sum(C45:M45)</f>
        <v>0</v>
      </c>
    </row>
    <row r="46">
      <c r="A46" s="31" t="s">
        <v>26</v>
      </c>
      <c r="B46" s="79">
        <v>82.0</v>
      </c>
      <c r="C46" s="33">
        <v>71.6</v>
      </c>
      <c r="D46" s="33">
        <v>40.0</v>
      </c>
      <c r="E46" s="33">
        <v>27.0</v>
      </c>
      <c r="F46" s="33">
        <v>12.0</v>
      </c>
      <c r="G46" s="33">
        <v>12.0</v>
      </c>
      <c r="H46" s="33">
        <v>16.0</v>
      </c>
      <c r="I46" s="33">
        <v>19.0</v>
      </c>
      <c r="J46" s="33">
        <v>30.0</v>
      </c>
      <c r="K46" s="45">
        <v>27.0</v>
      </c>
      <c r="L46" s="73">
        <v>30.0</v>
      </c>
      <c r="M46" s="73">
        <v>0.0</v>
      </c>
      <c r="O46" s="17">
        <f t="shared" ref="O46:O50" si="15">sum(B46:M46)</f>
        <v>366.6</v>
      </c>
    </row>
    <row r="47">
      <c r="A47" s="31" t="s">
        <v>27</v>
      </c>
      <c r="B47" s="79">
        <v>86.0</v>
      </c>
      <c r="C47" s="33">
        <v>7.32</v>
      </c>
      <c r="D47" s="33">
        <v>0.0</v>
      </c>
      <c r="E47" s="33">
        <v>12.0</v>
      </c>
      <c r="F47" s="33">
        <v>5.0</v>
      </c>
      <c r="G47" s="33">
        <v>15.0</v>
      </c>
      <c r="H47" s="33">
        <v>15.0</v>
      </c>
      <c r="I47" s="33">
        <v>18.0</v>
      </c>
      <c r="J47" s="33">
        <v>214.0</v>
      </c>
      <c r="K47" s="45">
        <v>2.0</v>
      </c>
      <c r="L47" s="73">
        <v>0.0</v>
      </c>
      <c r="M47" s="73">
        <v>0.0</v>
      </c>
      <c r="O47" s="76">
        <f t="shared" si="15"/>
        <v>374.32</v>
      </c>
    </row>
    <row r="48">
      <c r="A48" s="34" t="s">
        <v>28</v>
      </c>
      <c r="B48" s="46">
        <f t="shared" ref="B48:C48" si="16">SUM(C46:C47)</f>
        <v>78.92</v>
      </c>
      <c r="C48" s="46">
        <f t="shared" si="16"/>
        <v>40</v>
      </c>
      <c r="D48" s="46">
        <f t="shared" ref="D48:M48" si="17">SUM(D46:D47)</f>
        <v>40</v>
      </c>
      <c r="E48" s="46">
        <f t="shared" si="17"/>
        <v>39</v>
      </c>
      <c r="F48" s="46">
        <f t="shared" si="17"/>
        <v>17</v>
      </c>
      <c r="G48" s="46">
        <f t="shared" si="17"/>
        <v>27</v>
      </c>
      <c r="H48" s="46">
        <f t="shared" si="17"/>
        <v>31</v>
      </c>
      <c r="I48" s="46">
        <f t="shared" si="17"/>
        <v>37</v>
      </c>
      <c r="J48" s="46">
        <f t="shared" si="17"/>
        <v>244</v>
      </c>
      <c r="K48" s="47">
        <f t="shared" si="17"/>
        <v>29</v>
      </c>
      <c r="L48" s="47">
        <f t="shared" si="17"/>
        <v>30</v>
      </c>
      <c r="M48" s="47">
        <f t="shared" si="17"/>
        <v>0</v>
      </c>
      <c r="O48" s="20">
        <f t="shared" si="15"/>
        <v>612.92</v>
      </c>
    </row>
    <row r="49">
      <c r="B49" s="2"/>
      <c r="C49" s="2"/>
      <c r="D49" s="2"/>
      <c r="E49" s="2"/>
      <c r="F49" s="2"/>
      <c r="G49" s="2"/>
      <c r="H49" s="2"/>
      <c r="I49" s="2"/>
      <c r="J49" s="2"/>
      <c r="K49" s="50"/>
      <c r="L49" s="2"/>
      <c r="O49" s="17">
        <f t="shared" si="15"/>
        <v>0</v>
      </c>
    </row>
    <row r="50">
      <c r="A50" s="37">
        <v>45909.0</v>
      </c>
      <c r="B50" s="29"/>
      <c r="C50" s="29"/>
      <c r="D50" s="29"/>
      <c r="E50" s="29"/>
      <c r="F50" s="29"/>
      <c r="G50" s="29"/>
      <c r="H50" s="29"/>
      <c r="I50" s="29"/>
      <c r="J50" s="29"/>
      <c r="K50" s="50"/>
      <c r="L50" s="74"/>
      <c r="O50" s="17">
        <f t="shared" si="15"/>
        <v>0</v>
      </c>
    </row>
    <row r="51">
      <c r="A51" s="30" t="s">
        <v>14</v>
      </c>
      <c r="B51" s="30" t="s">
        <v>29</v>
      </c>
      <c r="C51" s="30" t="s">
        <v>30</v>
      </c>
      <c r="D51" s="30" t="s">
        <v>17</v>
      </c>
      <c r="E51" s="30" t="s">
        <v>31</v>
      </c>
      <c r="F51" s="30" t="s">
        <v>19</v>
      </c>
      <c r="G51" s="30" t="s">
        <v>20</v>
      </c>
      <c r="H51" s="30" t="s">
        <v>21</v>
      </c>
      <c r="I51" s="30" t="s">
        <v>22</v>
      </c>
      <c r="J51" s="30" t="s">
        <v>23</v>
      </c>
      <c r="K51" s="44" t="s">
        <v>24</v>
      </c>
      <c r="L51" s="44" t="s">
        <v>25</v>
      </c>
      <c r="M51" s="75" t="s">
        <v>53</v>
      </c>
      <c r="O51" s="17">
        <f>sum(C51:M51)</f>
        <v>0</v>
      </c>
    </row>
    <row r="52">
      <c r="A52" s="31" t="s">
        <v>26</v>
      </c>
      <c r="B52" s="33">
        <v>72.0</v>
      </c>
      <c r="C52" s="33">
        <v>7.86</v>
      </c>
      <c r="D52" s="33">
        <v>60.0</v>
      </c>
      <c r="E52" s="33">
        <v>10.0</v>
      </c>
      <c r="F52" s="33">
        <v>15.0</v>
      </c>
      <c r="G52" s="33">
        <v>10.0</v>
      </c>
      <c r="H52" s="33">
        <v>16.0</v>
      </c>
      <c r="I52" s="33">
        <v>15.0</v>
      </c>
      <c r="J52" s="33">
        <v>22.0</v>
      </c>
      <c r="K52" s="45">
        <v>20.0</v>
      </c>
      <c r="L52" s="73">
        <v>68.0</v>
      </c>
      <c r="M52" s="73">
        <v>0.0</v>
      </c>
      <c r="O52" s="17">
        <f t="shared" ref="O52:O56" si="18">sum(B52:M52)</f>
        <v>315.86</v>
      </c>
    </row>
    <row r="53">
      <c r="A53" s="31" t="s">
        <v>27</v>
      </c>
      <c r="B53" s="33">
        <v>46.0</v>
      </c>
      <c r="C53" s="33">
        <v>3.17</v>
      </c>
      <c r="D53" s="33">
        <v>38.0</v>
      </c>
      <c r="E53" s="33">
        <v>9.0</v>
      </c>
      <c r="F53" s="33">
        <v>8.0</v>
      </c>
      <c r="G53" s="33">
        <v>9.0</v>
      </c>
      <c r="H53" s="33">
        <v>5.0</v>
      </c>
      <c r="I53" s="33">
        <v>12.0</v>
      </c>
      <c r="J53" s="33">
        <v>10.0</v>
      </c>
      <c r="K53" s="45">
        <v>1.0</v>
      </c>
      <c r="L53" s="73">
        <v>0.0</v>
      </c>
      <c r="M53" s="73">
        <v>0.0</v>
      </c>
      <c r="O53" s="76">
        <f t="shared" si="18"/>
        <v>141.17</v>
      </c>
    </row>
    <row r="54">
      <c r="A54" s="34" t="s">
        <v>28</v>
      </c>
      <c r="B54" s="46">
        <f t="shared" ref="B54:M54" si="19">SUM(B52:B53)</f>
        <v>118</v>
      </c>
      <c r="C54" s="46">
        <f t="shared" si="19"/>
        <v>11.03</v>
      </c>
      <c r="D54" s="46">
        <f t="shared" si="19"/>
        <v>98</v>
      </c>
      <c r="E54" s="46">
        <f t="shared" si="19"/>
        <v>19</v>
      </c>
      <c r="F54" s="46">
        <f t="shared" si="19"/>
        <v>23</v>
      </c>
      <c r="G54" s="46">
        <f t="shared" si="19"/>
        <v>19</v>
      </c>
      <c r="H54" s="46">
        <f t="shared" si="19"/>
        <v>21</v>
      </c>
      <c r="I54" s="46">
        <f t="shared" si="19"/>
        <v>27</v>
      </c>
      <c r="J54" s="46">
        <f t="shared" si="19"/>
        <v>32</v>
      </c>
      <c r="K54" s="47">
        <f t="shared" si="19"/>
        <v>21</v>
      </c>
      <c r="L54" s="47">
        <f t="shared" si="19"/>
        <v>68</v>
      </c>
      <c r="M54" s="47">
        <f t="shared" si="19"/>
        <v>0</v>
      </c>
      <c r="O54" s="20">
        <f t="shared" si="18"/>
        <v>457.03</v>
      </c>
    </row>
    <row r="55">
      <c r="B55" s="2"/>
      <c r="C55" s="2"/>
      <c r="D55" s="2"/>
      <c r="E55" s="2"/>
      <c r="F55" s="2"/>
      <c r="G55" s="2"/>
      <c r="H55" s="2"/>
      <c r="I55" s="2"/>
      <c r="J55" s="2"/>
      <c r="K55" s="50"/>
      <c r="L55" s="2"/>
      <c r="O55" s="17">
        <f t="shared" si="18"/>
        <v>0</v>
      </c>
    </row>
    <row r="56">
      <c r="A56" s="37">
        <v>45910.0</v>
      </c>
      <c r="B56" s="29"/>
      <c r="C56" s="29"/>
      <c r="D56" s="29"/>
      <c r="E56" s="29"/>
      <c r="F56" s="29"/>
      <c r="G56" s="29"/>
      <c r="H56" s="29"/>
      <c r="I56" s="29"/>
      <c r="J56" s="29"/>
      <c r="K56" s="50"/>
      <c r="L56" s="74"/>
      <c r="O56" s="17">
        <f t="shared" si="18"/>
        <v>0</v>
      </c>
    </row>
    <row r="57">
      <c r="A57" s="30" t="s">
        <v>14</v>
      </c>
      <c r="B57" s="30" t="s">
        <v>29</v>
      </c>
      <c r="C57" s="30" t="s">
        <v>30</v>
      </c>
      <c r="D57" s="30" t="s">
        <v>17</v>
      </c>
      <c r="E57" s="30" t="s">
        <v>31</v>
      </c>
      <c r="F57" s="30" t="s">
        <v>19</v>
      </c>
      <c r="G57" s="30" t="s">
        <v>20</v>
      </c>
      <c r="H57" s="30" t="s">
        <v>21</v>
      </c>
      <c r="I57" s="30" t="s">
        <v>22</v>
      </c>
      <c r="J57" s="30" t="s">
        <v>23</v>
      </c>
      <c r="K57" s="44" t="s">
        <v>24</v>
      </c>
      <c r="L57" s="44" t="s">
        <v>25</v>
      </c>
      <c r="M57" s="75" t="s">
        <v>53</v>
      </c>
      <c r="O57" s="17">
        <f>sum(C57:M57)</f>
        <v>0</v>
      </c>
    </row>
    <row r="58">
      <c r="A58" s="31" t="s">
        <v>26</v>
      </c>
      <c r="B58" s="33">
        <v>56.0</v>
      </c>
      <c r="C58" s="33">
        <v>14.13</v>
      </c>
      <c r="D58" s="33">
        <v>40.0</v>
      </c>
      <c r="E58" s="33">
        <v>22.0</v>
      </c>
      <c r="F58" s="33">
        <v>8.0</v>
      </c>
      <c r="G58" s="33">
        <v>8.0</v>
      </c>
      <c r="H58" s="33">
        <v>16.0</v>
      </c>
      <c r="I58" s="33">
        <v>16.0</v>
      </c>
      <c r="J58" s="33">
        <v>27.0</v>
      </c>
      <c r="K58" s="45">
        <v>17.0</v>
      </c>
      <c r="L58" s="73">
        <v>50.0</v>
      </c>
      <c r="M58" s="73">
        <v>38.0</v>
      </c>
      <c r="O58" s="17">
        <f t="shared" ref="O58:O62" si="20">sum(B58:M58)</f>
        <v>312.13</v>
      </c>
    </row>
    <row r="59">
      <c r="A59" s="31" t="s">
        <v>27</v>
      </c>
      <c r="B59" s="33">
        <v>22.0</v>
      </c>
      <c r="C59" s="33">
        <v>7.63</v>
      </c>
      <c r="D59" s="33">
        <v>0.0</v>
      </c>
      <c r="E59" s="33">
        <v>8.0</v>
      </c>
      <c r="F59" s="33">
        <v>6.0</v>
      </c>
      <c r="G59" s="33">
        <v>5.0</v>
      </c>
      <c r="H59" s="33">
        <v>5.0</v>
      </c>
      <c r="I59" s="33">
        <v>11.0</v>
      </c>
      <c r="J59" s="33">
        <v>13.0</v>
      </c>
      <c r="K59" s="45">
        <v>2.0</v>
      </c>
      <c r="L59" s="73">
        <v>0.0</v>
      </c>
      <c r="M59" s="73">
        <v>0.0</v>
      </c>
      <c r="O59" s="76">
        <f t="shared" si="20"/>
        <v>79.63</v>
      </c>
    </row>
    <row r="60">
      <c r="A60" s="34" t="s">
        <v>28</v>
      </c>
      <c r="B60" s="46">
        <f t="shared" ref="B60:M60" si="21">SUM(B58:B59)</f>
        <v>78</v>
      </c>
      <c r="C60" s="46">
        <f t="shared" si="21"/>
        <v>21.76</v>
      </c>
      <c r="D60" s="46">
        <f t="shared" si="21"/>
        <v>40</v>
      </c>
      <c r="E60" s="46">
        <f t="shared" si="21"/>
        <v>30</v>
      </c>
      <c r="F60" s="46">
        <f t="shared" si="21"/>
        <v>14</v>
      </c>
      <c r="G60" s="46">
        <f t="shared" si="21"/>
        <v>13</v>
      </c>
      <c r="H60" s="46">
        <f t="shared" si="21"/>
        <v>21</v>
      </c>
      <c r="I60" s="46">
        <f t="shared" si="21"/>
        <v>27</v>
      </c>
      <c r="J60" s="46">
        <f t="shared" si="21"/>
        <v>40</v>
      </c>
      <c r="K60" s="47">
        <f t="shared" si="21"/>
        <v>19</v>
      </c>
      <c r="L60" s="47">
        <f t="shared" si="21"/>
        <v>50</v>
      </c>
      <c r="M60" s="47">
        <f t="shared" si="21"/>
        <v>38</v>
      </c>
      <c r="O60" s="20">
        <f t="shared" si="20"/>
        <v>391.76</v>
      </c>
    </row>
    <row r="61">
      <c r="B61" s="2"/>
      <c r="C61" s="2"/>
      <c r="D61" s="2"/>
      <c r="E61" s="2"/>
      <c r="F61" s="2"/>
      <c r="G61" s="2"/>
      <c r="H61" s="2"/>
      <c r="I61" s="2"/>
      <c r="J61" s="2"/>
      <c r="K61" s="50"/>
      <c r="L61" s="2"/>
      <c r="O61" s="17">
        <f t="shared" si="20"/>
        <v>0</v>
      </c>
    </row>
    <row r="62">
      <c r="A62" s="37">
        <v>45911.0</v>
      </c>
      <c r="B62" s="29"/>
      <c r="C62" s="29"/>
      <c r="D62" s="29"/>
      <c r="E62" s="29"/>
      <c r="F62" s="29"/>
      <c r="G62" s="29"/>
      <c r="H62" s="29"/>
      <c r="I62" s="29"/>
      <c r="J62" s="29"/>
      <c r="K62" s="50"/>
      <c r="L62" s="74"/>
      <c r="O62" s="17">
        <f t="shared" si="20"/>
        <v>0</v>
      </c>
    </row>
    <row r="63">
      <c r="A63" s="30" t="s">
        <v>14</v>
      </c>
      <c r="B63" s="30" t="s">
        <v>29</v>
      </c>
      <c r="C63" s="30" t="s">
        <v>30</v>
      </c>
      <c r="D63" s="30" t="s">
        <v>17</v>
      </c>
      <c r="E63" s="30" t="s">
        <v>31</v>
      </c>
      <c r="F63" s="30" t="s">
        <v>19</v>
      </c>
      <c r="G63" s="30" t="s">
        <v>20</v>
      </c>
      <c r="H63" s="30" t="s">
        <v>21</v>
      </c>
      <c r="I63" s="30" t="s">
        <v>22</v>
      </c>
      <c r="J63" s="30" t="s">
        <v>23</v>
      </c>
      <c r="K63" s="44" t="s">
        <v>24</v>
      </c>
      <c r="L63" s="44" t="s">
        <v>25</v>
      </c>
      <c r="M63" s="75" t="s">
        <v>53</v>
      </c>
      <c r="O63" s="17">
        <f>sum(C63:M63)</f>
        <v>0</v>
      </c>
    </row>
    <row r="64">
      <c r="A64" s="31" t="s">
        <v>26</v>
      </c>
      <c r="B64" s="33">
        <v>91.0</v>
      </c>
      <c r="C64" s="33">
        <v>7.32</v>
      </c>
      <c r="D64" s="33">
        <v>38.0</v>
      </c>
      <c r="E64" s="33">
        <v>19.0</v>
      </c>
      <c r="F64" s="33">
        <v>4.0</v>
      </c>
      <c r="G64" s="33">
        <v>10.0</v>
      </c>
      <c r="H64" s="33">
        <v>10.0</v>
      </c>
      <c r="I64" s="33">
        <v>18.0</v>
      </c>
      <c r="J64" s="33">
        <v>30.0</v>
      </c>
      <c r="K64" s="45">
        <v>19.0</v>
      </c>
      <c r="L64" s="73">
        <v>57.0</v>
      </c>
      <c r="M64" s="73">
        <v>30.0</v>
      </c>
      <c r="O64" s="17">
        <f t="shared" ref="O64:O68" si="22">sum(B64:M64)</f>
        <v>333.32</v>
      </c>
    </row>
    <row r="65">
      <c r="A65" s="31" t="s">
        <v>27</v>
      </c>
      <c r="B65" s="33">
        <v>62.0</v>
      </c>
      <c r="C65" s="33">
        <v>5.14</v>
      </c>
      <c r="D65" s="33">
        <v>0.0</v>
      </c>
      <c r="E65" s="33">
        <v>7.0</v>
      </c>
      <c r="F65" s="33">
        <v>2.0</v>
      </c>
      <c r="G65" s="33">
        <v>6.0</v>
      </c>
      <c r="H65" s="33">
        <v>6.0</v>
      </c>
      <c r="I65" s="33">
        <v>20.0</v>
      </c>
      <c r="J65" s="33">
        <v>30.0</v>
      </c>
      <c r="K65" s="45">
        <v>2.0</v>
      </c>
      <c r="L65" s="73">
        <v>0.0</v>
      </c>
      <c r="M65" s="73">
        <v>0.0</v>
      </c>
      <c r="O65" s="76">
        <f t="shared" si="22"/>
        <v>140.14</v>
      </c>
    </row>
    <row r="66">
      <c r="A66" s="34" t="s">
        <v>28</v>
      </c>
      <c r="B66" s="46">
        <f t="shared" ref="B66:M66" si="23">SUM(B64:B65)</f>
        <v>153</v>
      </c>
      <c r="C66" s="46">
        <f t="shared" si="23"/>
        <v>12.46</v>
      </c>
      <c r="D66" s="46">
        <f t="shared" si="23"/>
        <v>38</v>
      </c>
      <c r="E66" s="46">
        <f t="shared" si="23"/>
        <v>26</v>
      </c>
      <c r="F66" s="46">
        <f t="shared" si="23"/>
        <v>6</v>
      </c>
      <c r="G66" s="46">
        <f t="shared" si="23"/>
        <v>16</v>
      </c>
      <c r="H66" s="46">
        <f t="shared" si="23"/>
        <v>16</v>
      </c>
      <c r="I66" s="46">
        <f t="shared" si="23"/>
        <v>38</v>
      </c>
      <c r="J66" s="46">
        <f t="shared" si="23"/>
        <v>60</v>
      </c>
      <c r="K66" s="47">
        <f t="shared" si="23"/>
        <v>21</v>
      </c>
      <c r="L66" s="47">
        <f t="shared" si="23"/>
        <v>57</v>
      </c>
      <c r="M66" s="47">
        <f t="shared" si="23"/>
        <v>30</v>
      </c>
      <c r="O66" s="20">
        <f t="shared" si="22"/>
        <v>473.46</v>
      </c>
    </row>
    <row r="67">
      <c r="B67" s="2"/>
      <c r="C67" s="2"/>
      <c r="D67" s="2"/>
      <c r="E67" s="2"/>
      <c r="F67" s="2"/>
      <c r="G67" s="2"/>
      <c r="H67" s="2"/>
      <c r="I67" s="2"/>
      <c r="J67" s="2"/>
      <c r="K67" s="50"/>
      <c r="L67" s="2"/>
      <c r="O67" s="17">
        <f t="shared" si="22"/>
        <v>0</v>
      </c>
    </row>
    <row r="68">
      <c r="A68" s="37">
        <v>45912.0</v>
      </c>
      <c r="B68" s="29"/>
      <c r="C68" s="29"/>
      <c r="D68" s="29"/>
      <c r="E68" s="29"/>
      <c r="F68" s="29"/>
      <c r="G68" s="29"/>
      <c r="H68" s="29"/>
      <c r="I68" s="29"/>
      <c r="J68" s="29"/>
      <c r="K68" s="50"/>
      <c r="L68" s="74"/>
      <c r="O68" s="17">
        <f t="shared" si="22"/>
        <v>0</v>
      </c>
    </row>
    <row r="69">
      <c r="A69" s="30" t="s">
        <v>14</v>
      </c>
      <c r="B69" s="30" t="s">
        <v>29</v>
      </c>
      <c r="C69" s="30" t="s">
        <v>30</v>
      </c>
      <c r="D69" s="30" t="s">
        <v>17</v>
      </c>
      <c r="E69" s="30" t="s">
        <v>31</v>
      </c>
      <c r="F69" s="30" t="s">
        <v>19</v>
      </c>
      <c r="G69" s="30" t="s">
        <v>20</v>
      </c>
      <c r="H69" s="30" t="s">
        <v>21</v>
      </c>
      <c r="I69" s="30" t="s">
        <v>22</v>
      </c>
      <c r="J69" s="30" t="s">
        <v>23</v>
      </c>
      <c r="K69" s="44" t="s">
        <v>24</v>
      </c>
      <c r="L69" s="44" t="s">
        <v>25</v>
      </c>
      <c r="M69" s="75" t="s">
        <v>53</v>
      </c>
      <c r="O69" s="17">
        <f>sum(C69:M69)</f>
        <v>0</v>
      </c>
    </row>
    <row r="70">
      <c r="A70" s="31" t="s">
        <v>26</v>
      </c>
      <c r="B70" s="33">
        <v>67.0</v>
      </c>
      <c r="C70" s="33">
        <v>7.41</v>
      </c>
      <c r="D70" s="33">
        <v>50.0</v>
      </c>
      <c r="E70" s="33">
        <v>11.0</v>
      </c>
      <c r="F70" s="33">
        <v>11.0</v>
      </c>
      <c r="G70" s="33">
        <v>11.0</v>
      </c>
      <c r="H70" s="33">
        <v>11.0</v>
      </c>
      <c r="I70" s="33"/>
      <c r="J70" s="33"/>
      <c r="K70" s="45">
        <v>17.0</v>
      </c>
      <c r="L70" s="73">
        <v>39.0</v>
      </c>
      <c r="M70" s="73">
        <v>30.0</v>
      </c>
      <c r="O70" s="17">
        <f t="shared" ref="O70:O74" si="24">sum(B70:M70)</f>
        <v>254.41</v>
      </c>
    </row>
    <row r="71">
      <c r="A71" s="31" t="s">
        <v>27</v>
      </c>
      <c r="B71" s="33">
        <v>28.0</v>
      </c>
      <c r="C71" s="33">
        <v>9.888</v>
      </c>
      <c r="D71" s="33">
        <v>0.0</v>
      </c>
      <c r="E71" s="33">
        <v>7.0</v>
      </c>
      <c r="F71" s="33">
        <v>4.0</v>
      </c>
      <c r="G71" s="33">
        <v>7.0</v>
      </c>
      <c r="H71" s="33">
        <v>4.0</v>
      </c>
      <c r="I71" s="33"/>
      <c r="J71" s="33"/>
      <c r="K71" s="45">
        <v>2.0</v>
      </c>
      <c r="L71" s="73">
        <v>0.0</v>
      </c>
      <c r="M71" s="73">
        <v>0.0</v>
      </c>
      <c r="O71" s="76">
        <f t="shared" si="24"/>
        <v>61.888</v>
      </c>
    </row>
    <row r="72">
      <c r="A72" s="34" t="s">
        <v>28</v>
      </c>
      <c r="B72" s="46">
        <f t="shared" ref="B72:M72" si="25">SUM(B70:B71)</f>
        <v>95</v>
      </c>
      <c r="C72" s="46">
        <f t="shared" si="25"/>
        <v>17.298</v>
      </c>
      <c r="D72" s="46">
        <f t="shared" si="25"/>
        <v>50</v>
      </c>
      <c r="E72" s="46">
        <f t="shared" si="25"/>
        <v>18</v>
      </c>
      <c r="F72" s="46">
        <f t="shared" si="25"/>
        <v>15</v>
      </c>
      <c r="G72" s="46">
        <f t="shared" si="25"/>
        <v>18</v>
      </c>
      <c r="H72" s="46">
        <f t="shared" si="25"/>
        <v>15</v>
      </c>
      <c r="I72" s="46">
        <f t="shared" si="25"/>
        <v>0</v>
      </c>
      <c r="J72" s="46">
        <f t="shared" si="25"/>
        <v>0</v>
      </c>
      <c r="K72" s="47">
        <f t="shared" si="25"/>
        <v>19</v>
      </c>
      <c r="L72" s="47">
        <f t="shared" si="25"/>
        <v>39</v>
      </c>
      <c r="M72" s="47">
        <f t="shared" si="25"/>
        <v>30</v>
      </c>
      <c r="O72" s="20">
        <f t="shared" si="24"/>
        <v>316.298</v>
      </c>
    </row>
    <row r="73">
      <c r="B73" s="2"/>
      <c r="C73" s="2"/>
      <c r="D73" s="2"/>
      <c r="E73" s="2"/>
      <c r="F73" s="2"/>
      <c r="G73" s="2"/>
      <c r="H73" s="2"/>
      <c r="I73" s="2"/>
      <c r="J73" s="2"/>
      <c r="K73" s="50"/>
      <c r="L73" s="2"/>
      <c r="O73" s="17">
        <f t="shared" si="24"/>
        <v>0</v>
      </c>
    </row>
    <row r="74">
      <c r="A74" s="80">
        <v>45913.0</v>
      </c>
      <c r="B74" s="74"/>
      <c r="C74" s="74"/>
      <c r="D74" s="74"/>
      <c r="E74" s="74"/>
      <c r="F74" s="74"/>
      <c r="G74" s="74"/>
      <c r="H74" s="74"/>
      <c r="I74" s="74"/>
      <c r="J74" s="74"/>
      <c r="K74" s="50"/>
      <c r="L74" s="74"/>
      <c r="M74" s="50"/>
      <c r="N74" s="50"/>
      <c r="O74" s="17">
        <f t="shared" si="24"/>
        <v>0</v>
      </c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>
      <c r="A75" s="81" t="s">
        <v>14</v>
      </c>
      <c r="B75" s="81" t="s">
        <v>29</v>
      </c>
      <c r="C75" s="81" t="s">
        <v>30</v>
      </c>
      <c r="D75" s="81" t="s">
        <v>17</v>
      </c>
      <c r="E75" s="81" t="s">
        <v>31</v>
      </c>
      <c r="F75" s="81" t="s">
        <v>19</v>
      </c>
      <c r="G75" s="81" t="s">
        <v>20</v>
      </c>
      <c r="H75" s="81" t="s">
        <v>21</v>
      </c>
      <c r="I75" s="81" t="s">
        <v>22</v>
      </c>
      <c r="J75" s="81" t="s">
        <v>23</v>
      </c>
      <c r="K75" s="44" t="s">
        <v>24</v>
      </c>
      <c r="L75" s="81" t="s">
        <v>25</v>
      </c>
      <c r="M75" s="75" t="s">
        <v>53</v>
      </c>
      <c r="N75" s="50"/>
      <c r="O75" s="17">
        <f>sum(C75:M75)</f>
        <v>0</v>
      </c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>
      <c r="A76" s="82" t="s">
        <v>26</v>
      </c>
      <c r="B76" s="73">
        <v>53.0</v>
      </c>
      <c r="C76" s="73">
        <v>10.12</v>
      </c>
      <c r="D76" s="73">
        <v>45.0</v>
      </c>
      <c r="E76" s="73">
        <v>40.0</v>
      </c>
      <c r="F76" s="73">
        <v>12.0</v>
      </c>
      <c r="G76" s="73">
        <v>12.0</v>
      </c>
      <c r="H76" s="73">
        <v>18.0</v>
      </c>
      <c r="I76" s="73">
        <v>19.0</v>
      </c>
      <c r="J76" s="73">
        <v>40.0</v>
      </c>
      <c r="K76" s="45">
        <v>19.0</v>
      </c>
      <c r="L76" s="73">
        <v>46.0</v>
      </c>
      <c r="M76" s="73">
        <v>25.0</v>
      </c>
      <c r="N76" s="50"/>
      <c r="O76" s="17">
        <f t="shared" ref="O76:O80" si="26">sum(B76:M76)</f>
        <v>339.12</v>
      </c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>
      <c r="A77" s="82" t="s">
        <v>27</v>
      </c>
      <c r="B77" s="73">
        <v>28.0</v>
      </c>
      <c r="C77" s="73">
        <v>6.57</v>
      </c>
      <c r="D77" s="73">
        <v>0.0</v>
      </c>
      <c r="E77" s="73">
        <v>10.0</v>
      </c>
      <c r="F77" s="73">
        <v>11.0</v>
      </c>
      <c r="G77" s="73">
        <v>12.0</v>
      </c>
      <c r="H77" s="73">
        <v>10.0</v>
      </c>
      <c r="I77" s="73">
        <v>14.0</v>
      </c>
      <c r="J77" s="73">
        <v>12.0</v>
      </c>
      <c r="K77" s="45">
        <v>1.0</v>
      </c>
      <c r="L77" s="73">
        <v>0.0</v>
      </c>
      <c r="M77" s="73">
        <v>0.0</v>
      </c>
      <c r="N77" s="50"/>
      <c r="O77" s="76">
        <f t="shared" si="26"/>
        <v>104.57</v>
      </c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>
      <c r="A78" s="83" t="s">
        <v>28</v>
      </c>
      <c r="B78" s="84">
        <f t="shared" ref="B78:M78" si="27">SUM(B76:B77)</f>
        <v>81</v>
      </c>
      <c r="C78" s="84">
        <f t="shared" si="27"/>
        <v>16.69</v>
      </c>
      <c r="D78" s="84">
        <f t="shared" si="27"/>
        <v>45</v>
      </c>
      <c r="E78" s="84">
        <f t="shared" si="27"/>
        <v>50</v>
      </c>
      <c r="F78" s="84">
        <f t="shared" si="27"/>
        <v>23</v>
      </c>
      <c r="G78" s="84">
        <f t="shared" si="27"/>
        <v>24</v>
      </c>
      <c r="H78" s="84">
        <f t="shared" si="27"/>
        <v>28</v>
      </c>
      <c r="I78" s="84">
        <f t="shared" si="27"/>
        <v>33</v>
      </c>
      <c r="J78" s="84">
        <f t="shared" si="27"/>
        <v>52</v>
      </c>
      <c r="K78" s="47">
        <f t="shared" si="27"/>
        <v>20</v>
      </c>
      <c r="L78" s="83">
        <f t="shared" si="27"/>
        <v>46</v>
      </c>
      <c r="M78" s="47">
        <f t="shared" si="27"/>
        <v>25</v>
      </c>
      <c r="N78" s="50"/>
      <c r="O78" s="20">
        <f t="shared" si="26"/>
        <v>443.69</v>
      </c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>
      <c r="B79" s="2"/>
      <c r="C79" s="2"/>
      <c r="D79" s="2"/>
      <c r="E79" s="2"/>
      <c r="F79" s="2"/>
      <c r="G79" s="2"/>
      <c r="H79" s="2"/>
      <c r="I79" s="2"/>
      <c r="J79" s="2"/>
      <c r="K79" s="50"/>
      <c r="L79" s="2"/>
      <c r="O79" s="17">
        <f t="shared" si="26"/>
        <v>0</v>
      </c>
    </row>
    <row r="80">
      <c r="A80" s="80">
        <v>45914.0</v>
      </c>
      <c r="B80" s="74"/>
      <c r="C80" s="74"/>
      <c r="D80" s="74"/>
      <c r="E80" s="74"/>
      <c r="F80" s="74"/>
      <c r="G80" s="74"/>
      <c r="H80" s="74"/>
      <c r="I80" s="74"/>
      <c r="J80" s="74"/>
      <c r="K80" s="50"/>
      <c r="L80" s="74"/>
      <c r="M80" s="50"/>
      <c r="N80" s="50"/>
      <c r="O80" s="17">
        <f t="shared" si="26"/>
        <v>0</v>
      </c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>
      <c r="A81" s="81" t="s">
        <v>14</v>
      </c>
      <c r="B81" s="81" t="s">
        <v>29</v>
      </c>
      <c r="C81" s="81" t="s">
        <v>30</v>
      </c>
      <c r="D81" s="81" t="s">
        <v>17</v>
      </c>
      <c r="E81" s="81" t="s">
        <v>31</v>
      </c>
      <c r="F81" s="81" t="s">
        <v>19</v>
      </c>
      <c r="G81" s="81" t="s">
        <v>20</v>
      </c>
      <c r="H81" s="81" t="s">
        <v>21</v>
      </c>
      <c r="I81" s="81" t="s">
        <v>22</v>
      </c>
      <c r="J81" s="81" t="s">
        <v>23</v>
      </c>
      <c r="K81" s="44" t="s">
        <v>24</v>
      </c>
      <c r="L81" s="81" t="s">
        <v>25</v>
      </c>
      <c r="M81" s="75" t="s">
        <v>53</v>
      </c>
      <c r="N81" s="50"/>
      <c r="O81" s="17">
        <f>sum(C81:M81)</f>
        <v>0</v>
      </c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>
      <c r="A82" s="82" t="s">
        <v>26</v>
      </c>
      <c r="B82" s="73">
        <v>34.0</v>
      </c>
      <c r="C82" s="73">
        <v>17.62</v>
      </c>
      <c r="D82" s="73">
        <v>45.0</v>
      </c>
      <c r="E82" s="73">
        <v>20.0</v>
      </c>
      <c r="F82" s="73">
        <v>7.0</v>
      </c>
      <c r="G82" s="73">
        <v>5.0</v>
      </c>
      <c r="H82" s="73">
        <v>15.0</v>
      </c>
      <c r="I82" s="73">
        <v>35.0</v>
      </c>
      <c r="J82" s="73">
        <v>40.0</v>
      </c>
      <c r="K82" s="45">
        <v>19.0</v>
      </c>
      <c r="L82" s="73">
        <v>0.0</v>
      </c>
      <c r="M82" s="73">
        <v>0.0</v>
      </c>
      <c r="N82" s="50"/>
      <c r="O82" s="17">
        <f t="shared" ref="O82:O86" si="28">sum(B82:M82)</f>
        <v>237.62</v>
      </c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>
      <c r="A83" s="82" t="s">
        <v>27</v>
      </c>
      <c r="B83" s="73">
        <v>13.0</v>
      </c>
      <c r="C83" s="73">
        <v>2.1</v>
      </c>
      <c r="D83" s="73">
        <v>0.0</v>
      </c>
      <c r="E83" s="73">
        <v>10.0</v>
      </c>
      <c r="F83" s="73">
        <v>4.0</v>
      </c>
      <c r="G83" s="73">
        <v>3.0</v>
      </c>
      <c r="H83" s="73">
        <v>5.0</v>
      </c>
      <c r="I83" s="73">
        <v>20.0</v>
      </c>
      <c r="J83" s="73">
        <v>18.0</v>
      </c>
      <c r="K83" s="45">
        <v>1.0</v>
      </c>
      <c r="L83" s="73">
        <v>0.0</v>
      </c>
      <c r="M83" s="73">
        <v>0.0</v>
      </c>
      <c r="N83" s="50"/>
      <c r="O83" s="76">
        <f t="shared" si="28"/>
        <v>76.1</v>
      </c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>
      <c r="A84" s="83" t="s">
        <v>28</v>
      </c>
      <c r="B84" s="84">
        <f t="shared" ref="B84:M84" si="29">SUM(B82:B83)</f>
        <v>47</v>
      </c>
      <c r="C84" s="84">
        <f t="shared" si="29"/>
        <v>19.72</v>
      </c>
      <c r="D84" s="84">
        <f t="shared" si="29"/>
        <v>45</v>
      </c>
      <c r="E84" s="84">
        <f t="shared" si="29"/>
        <v>30</v>
      </c>
      <c r="F84" s="84">
        <f t="shared" si="29"/>
        <v>11</v>
      </c>
      <c r="G84" s="84">
        <f t="shared" si="29"/>
        <v>8</v>
      </c>
      <c r="H84" s="84">
        <f t="shared" si="29"/>
        <v>20</v>
      </c>
      <c r="I84" s="84">
        <f t="shared" si="29"/>
        <v>55</v>
      </c>
      <c r="J84" s="84">
        <f t="shared" si="29"/>
        <v>58</v>
      </c>
      <c r="K84" s="47">
        <f t="shared" si="29"/>
        <v>20</v>
      </c>
      <c r="L84" s="83">
        <f t="shared" si="29"/>
        <v>0</v>
      </c>
      <c r="M84" s="47">
        <f t="shared" si="29"/>
        <v>0</v>
      </c>
      <c r="N84" s="50"/>
      <c r="O84" s="20">
        <f t="shared" si="28"/>
        <v>313.72</v>
      </c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>
      <c r="B85" s="2"/>
      <c r="C85" s="2"/>
      <c r="D85" s="2"/>
      <c r="E85" s="2"/>
      <c r="F85" s="2"/>
      <c r="G85" s="2"/>
      <c r="H85" s="2"/>
      <c r="I85" s="2"/>
      <c r="J85" s="2"/>
      <c r="K85" s="59"/>
      <c r="L85" s="2"/>
      <c r="O85" s="17">
        <f t="shared" si="28"/>
        <v>0</v>
      </c>
    </row>
    <row r="86">
      <c r="A86" s="80">
        <v>45915.0</v>
      </c>
      <c r="B86" s="74"/>
      <c r="C86" s="74"/>
      <c r="D86" s="74"/>
      <c r="E86" s="74"/>
      <c r="F86" s="74"/>
      <c r="G86" s="74"/>
      <c r="H86" s="74"/>
      <c r="I86" s="74"/>
      <c r="J86" s="74"/>
      <c r="K86" s="50"/>
      <c r="L86" s="74"/>
      <c r="M86" s="50"/>
      <c r="N86" s="50"/>
      <c r="O86" s="17">
        <f t="shared" si="28"/>
        <v>0</v>
      </c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>
      <c r="A87" s="81" t="s">
        <v>14</v>
      </c>
      <c r="B87" s="81" t="s">
        <v>29</v>
      </c>
      <c r="C87" s="81" t="s">
        <v>30</v>
      </c>
      <c r="D87" s="81" t="s">
        <v>17</v>
      </c>
      <c r="E87" s="81" t="s">
        <v>31</v>
      </c>
      <c r="F87" s="81" t="s">
        <v>19</v>
      </c>
      <c r="G87" s="81" t="s">
        <v>20</v>
      </c>
      <c r="H87" s="81" t="s">
        <v>21</v>
      </c>
      <c r="I87" s="81" t="s">
        <v>22</v>
      </c>
      <c r="J87" s="81" t="s">
        <v>23</v>
      </c>
      <c r="K87" s="44" t="s">
        <v>24</v>
      </c>
      <c r="L87" s="81" t="s">
        <v>25</v>
      </c>
      <c r="M87" s="75" t="s">
        <v>53</v>
      </c>
      <c r="N87" s="50"/>
      <c r="O87" s="17">
        <f>sum(C87:M87)</f>
        <v>0</v>
      </c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>
      <c r="A88" s="82" t="s">
        <v>26</v>
      </c>
      <c r="B88" s="73">
        <v>77.0</v>
      </c>
      <c r="C88" s="73">
        <v>11.52</v>
      </c>
      <c r="D88" s="73">
        <v>55.0</v>
      </c>
      <c r="E88" s="73">
        <v>25.0</v>
      </c>
      <c r="F88" s="73">
        <v>6.0</v>
      </c>
      <c r="G88" s="73">
        <v>6.0</v>
      </c>
      <c r="H88" s="73">
        <v>14.0</v>
      </c>
      <c r="I88" s="73">
        <v>18.0</v>
      </c>
      <c r="J88" s="73">
        <v>25.0</v>
      </c>
      <c r="K88" s="45">
        <v>20.0</v>
      </c>
      <c r="L88" s="73">
        <v>76.0</v>
      </c>
      <c r="M88" s="73">
        <v>20.0</v>
      </c>
      <c r="N88" s="50"/>
      <c r="O88" s="17">
        <f t="shared" ref="O88:O92" si="30">sum(B88:M88)</f>
        <v>353.52</v>
      </c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>
      <c r="A89" s="82" t="s">
        <v>27</v>
      </c>
      <c r="B89" s="73">
        <v>43.0</v>
      </c>
      <c r="C89" s="73">
        <v>2.34</v>
      </c>
      <c r="D89" s="73">
        <v>0.0</v>
      </c>
      <c r="E89" s="73">
        <v>10.0</v>
      </c>
      <c r="F89" s="73">
        <v>6.0</v>
      </c>
      <c r="G89" s="73">
        <v>9.0</v>
      </c>
      <c r="H89" s="73">
        <v>6.0</v>
      </c>
      <c r="I89" s="73">
        <v>12.0</v>
      </c>
      <c r="J89" s="73">
        <v>10.0</v>
      </c>
      <c r="K89" s="45">
        <v>1.0</v>
      </c>
      <c r="L89" s="73">
        <v>0.0</v>
      </c>
      <c r="M89" s="73">
        <v>0.0</v>
      </c>
      <c r="N89" s="50"/>
      <c r="O89" s="76">
        <f t="shared" si="30"/>
        <v>99.34</v>
      </c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>
      <c r="A90" s="83" t="s">
        <v>28</v>
      </c>
      <c r="B90" s="84">
        <f t="shared" ref="B90:M90" si="31">SUM(B88:B89)</f>
        <v>120</v>
      </c>
      <c r="C90" s="84">
        <f t="shared" si="31"/>
        <v>13.86</v>
      </c>
      <c r="D90" s="84">
        <f t="shared" si="31"/>
        <v>55</v>
      </c>
      <c r="E90" s="84">
        <f t="shared" si="31"/>
        <v>35</v>
      </c>
      <c r="F90" s="84">
        <f t="shared" si="31"/>
        <v>12</v>
      </c>
      <c r="G90" s="84">
        <f t="shared" si="31"/>
        <v>15</v>
      </c>
      <c r="H90" s="84">
        <f t="shared" si="31"/>
        <v>20</v>
      </c>
      <c r="I90" s="84">
        <f t="shared" si="31"/>
        <v>30</v>
      </c>
      <c r="J90" s="84">
        <f t="shared" si="31"/>
        <v>35</v>
      </c>
      <c r="K90" s="47">
        <f t="shared" si="31"/>
        <v>21</v>
      </c>
      <c r="L90" s="83">
        <f t="shared" si="31"/>
        <v>76</v>
      </c>
      <c r="M90" s="47">
        <f t="shared" si="31"/>
        <v>20</v>
      </c>
      <c r="N90" s="50"/>
      <c r="O90" s="20">
        <f t="shared" si="30"/>
        <v>452.86</v>
      </c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>
      <c r="B91" s="2"/>
      <c r="C91" s="2"/>
      <c r="D91" s="2"/>
      <c r="E91" s="2"/>
      <c r="F91" s="2"/>
      <c r="G91" s="2"/>
      <c r="H91" s="2"/>
      <c r="I91" s="2"/>
      <c r="J91" s="2"/>
      <c r="K91" s="50"/>
      <c r="L91" s="2"/>
      <c r="O91" s="17">
        <f t="shared" si="30"/>
        <v>0</v>
      </c>
    </row>
    <row r="92">
      <c r="A92" s="80">
        <v>45916.0</v>
      </c>
      <c r="B92" s="74"/>
      <c r="C92" s="74"/>
      <c r="D92" s="74"/>
      <c r="E92" s="74"/>
      <c r="F92" s="74"/>
      <c r="G92" s="74"/>
      <c r="H92" s="74"/>
      <c r="I92" s="74"/>
      <c r="J92" s="74"/>
      <c r="K92" s="50"/>
      <c r="L92" s="74"/>
      <c r="M92" s="50"/>
      <c r="N92" s="50"/>
      <c r="O92" s="17">
        <f t="shared" si="30"/>
        <v>0</v>
      </c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>
      <c r="A93" s="81" t="s">
        <v>14</v>
      </c>
      <c r="B93" s="81" t="s">
        <v>29</v>
      </c>
      <c r="C93" s="81" t="s">
        <v>30</v>
      </c>
      <c r="D93" s="81" t="s">
        <v>17</v>
      </c>
      <c r="E93" s="81" t="s">
        <v>31</v>
      </c>
      <c r="F93" s="81" t="s">
        <v>19</v>
      </c>
      <c r="G93" s="81" t="s">
        <v>20</v>
      </c>
      <c r="H93" s="81" t="s">
        <v>21</v>
      </c>
      <c r="I93" s="81" t="s">
        <v>22</v>
      </c>
      <c r="J93" s="81" t="s">
        <v>23</v>
      </c>
      <c r="K93" s="44" t="s">
        <v>24</v>
      </c>
      <c r="L93" s="81" t="s">
        <v>25</v>
      </c>
      <c r="M93" s="75" t="s">
        <v>53</v>
      </c>
      <c r="N93" s="50"/>
      <c r="O93" s="17">
        <f>sum(C93:M93)</f>
        <v>0</v>
      </c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>
      <c r="A94" s="82" t="s">
        <v>26</v>
      </c>
      <c r="B94" s="73">
        <v>77.0</v>
      </c>
      <c r="C94" s="73">
        <v>13.54</v>
      </c>
      <c r="D94" s="73">
        <v>38.0</v>
      </c>
      <c r="E94" s="73">
        <v>30.0</v>
      </c>
      <c r="F94" s="73">
        <v>9.0</v>
      </c>
      <c r="G94" s="73">
        <v>13.0</v>
      </c>
      <c r="H94" s="73">
        <v>15.0</v>
      </c>
      <c r="I94" s="73">
        <v>24.0</v>
      </c>
      <c r="J94" s="73">
        <v>30.0</v>
      </c>
      <c r="K94" s="45">
        <v>25.0</v>
      </c>
      <c r="L94" s="73">
        <v>92.0</v>
      </c>
      <c r="M94" s="73">
        <v>30.0</v>
      </c>
      <c r="N94" s="50"/>
      <c r="O94" s="17">
        <f t="shared" ref="O94:O98" si="32">sum(B94:M94)</f>
        <v>396.54</v>
      </c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>
      <c r="A95" s="82" t="s">
        <v>27</v>
      </c>
      <c r="B95" s="73">
        <v>39.0</v>
      </c>
      <c r="C95" s="73">
        <v>5.71</v>
      </c>
      <c r="D95" s="73">
        <v>0.0</v>
      </c>
      <c r="E95" s="73">
        <v>5.0</v>
      </c>
      <c r="F95" s="73">
        <v>7.0</v>
      </c>
      <c r="G95" s="73">
        <v>10.0</v>
      </c>
      <c r="H95" s="73">
        <v>3.0</v>
      </c>
      <c r="I95" s="73">
        <v>15.0</v>
      </c>
      <c r="J95" s="73">
        <v>8.0</v>
      </c>
      <c r="K95" s="45">
        <v>2.0</v>
      </c>
      <c r="L95" s="73">
        <v>0.0</v>
      </c>
      <c r="M95" s="73">
        <v>0.0</v>
      </c>
      <c r="N95" s="50"/>
      <c r="O95" s="76">
        <f t="shared" si="32"/>
        <v>94.71</v>
      </c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>
      <c r="A96" s="83" t="s">
        <v>28</v>
      </c>
      <c r="B96" s="84">
        <f t="shared" ref="B96:M96" si="33">SUM(B94:B95)</f>
        <v>116</v>
      </c>
      <c r="C96" s="84">
        <f t="shared" si="33"/>
        <v>19.25</v>
      </c>
      <c r="D96" s="84">
        <f t="shared" si="33"/>
        <v>38</v>
      </c>
      <c r="E96" s="84">
        <f t="shared" si="33"/>
        <v>35</v>
      </c>
      <c r="F96" s="84">
        <f t="shared" si="33"/>
        <v>16</v>
      </c>
      <c r="G96" s="84">
        <f t="shared" si="33"/>
        <v>23</v>
      </c>
      <c r="H96" s="84">
        <f t="shared" si="33"/>
        <v>18</v>
      </c>
      <c r="I96" s="84">
        <f t="shared" si="33"/>
        <v>39</v>
      </c>
      <c r="J96" s="84">
        <f t="shared" si="33"/>
        <v>38</v>
      </c>
      <c r="K96" s="47">
        <f t="shared" si="33"/>
        <v>27</v>
      </c>
      <c r="L96" s="83">
        <f t="shared" si="33"/>
        <v>92</v>
      </c>
      <c r="M96" s="47">
        <f t="shared" si="33"/>
        <v>30</v>
      </c>
      <c r="N96" s="50"/>
      <c r="O96" s="20">
        <f t="shared" si="32"/>
        <v>491.25</v>
      </c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>
      <c r="B97" s="2"/>
      <c r="C97" s="2"/>
      <c r="D97" s="2"/>
      <c r="E97" s="2"/>
      <c r="F97" s="2"/>
      <c r="G97" s="2"/>
      <c r="H97" s="2"/>
      <c r="I97" s="2"/>
      <c r="J97" s="2"/>
      <c r="K97" s="50"/>
      <c r="L97" s="2"/>
      <c r="O97" s="17">
        <f t="shared" si="32"/>
        <v>0</v>
      </c>
    </row>
    <row r="98">
      <c r="A98" s="80">
        <v>45917.0</v>
      </c>
      <c r="B98" s="74"/>
      <c r="C98" s="74"/>
      <c r="D98" s="74"/>
      <c r="E98" s="74"/>
      <c r="F98" s="74"/>
      <c r="G98" s="74"/>
      <c r="H98" s="74"/>
      <c r="I98" s="74"/>
      <c r="J98" s="74"/>
      <c r="K98" s="50"/>
      <c r="L98" s="74"/>
      <c r="M98" s="50"/>
      <c r="N98" s="50"/>
      <c r="O98" s="17">
        <f t="shared" si="32"/>
        <v>0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>
      <c r="A99" s="81" t="s">
        <v>14</v>
      </c>
      <c r="B99" s="81" t="s">
        <v>29</v>
      </c>
      <c r="C99" s="81" t="s">
        <v>30</v>
      </c>
      <c r="D99" s="81" t="s">
        <v>17</v>
      </c>
      <c r="E99" s="81" t="s">
        <v>31</v>
      </c>
      <c r="F99" s="81" t="s">
        <v>19</v>
      </c>
      <c r="G99" s="81" t="s">
        <v>20</v>
      </c>
      <c r="H99" s="81" t="s">
        <v>21</v>
      </c>
      <c r="I99" s="81" t="s">
        <v>22</v>
      </c>
      <c r="J99" s="81" t="s">
        <v>23</v>
      </c>
      <c r="K99" s="44" t="s">
        <v>24</v>
      </c>
      <c r="L99" s="81" t="s">
        <v>25</v>
      </c>
      <c r="M99" s="75" t="s">
        <v>53</v>
      </c>
      <c r="N99" s="50"/>
      <c r="O99" s="17">
        <f>sum(C99:M99)</f>
        <v>0</v>
      </c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>
      <c r="A100" s="82" t="s">
        <v>26</v>
      </c>
      <c r="B100" s="73">
        <v>78.0</v>
      </c>
      <c r="C100" s="73">
        <v>10.63</v>
      </c>
      <c r="D100" s="73">
        <v>60.0</v>
      </c>
      <c r="E100" s="73">
        <v>22.0</v>
      </c>
      <c r="F100" s="73">
        <v>24.0</v>
      </c>
      <c r="G100" s="73">
        <v>10.0</v>
      </c>
      <c r="H100" s="73">
        <v>11.0</v>
      </c>
      <c r="I100" s="73">
        <v>16.0</v>
      </c>
      <c r="J100" s="73">
        <v>18.0</v>
      </c>
      <c r="K100" s="45">
        <v>26.0</v>
      </c>
      <c r="L100" s="73">
        <v>0.0</v>
      </c>
      <c r="M100" s="73">
        <v>37.0</v>
      </c>
      <c r="N100" s="50"/>
      <c r="O100" s="17">
        <f t="shared" ref="O100:O104" si="34">sum(B100:M100)</f>
        <v>312.63</v>
      </c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>
      <c r="A101" s="82" t="s">
        <v>27</v>
      </c>
      <c r="B101" s="73">
        <v>90.0</v>
      </c>
      <c r="C101" s="73">
        <v>2.21</v>
      </c>
      <c r="D101" s="73">
        <v>0.0</v>
      </c>
      <c r="E101" s="73">
        <v>3.0</v>
      </c>
      <c r="F101" s="73">
        <v>7.0</v>
      </c>
      <c r="G101" s="73">
        <v>4.0</v>
      </c>
      <c r="H101" s="73">
        <v>7.0</v>
      </c>
      <c r="I101" s="73">
        <v>15.0</v>
      </c>
      <c r="J101" s="73">
        <v>10.0</v>
      </c>
      <c r="K101" s="45">
        <v>1.0</v>
      </c>
      <c r="L101" s="73">
        <v>0.0</v>
      </c>
      <c r="M101" s="73">
        <v>0.0</v>
      </c>
      <c r="N101" s="50"/>
      <c r="O101" s="76">
        <f t="shared" si="34"/>
        <v>139.21</v>
      </c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>
      <c r="A102" s="83" t="s">
        <v>28</v>
      </c>
      <c r="B102" s="84">
        <f t="shared" ref="B102:M102" si="35">SUM(B100:B101)</f>
        <v>168</v>
      </c>
      <c r="C102" s="84">
        <f t="shared" si="35"/>
        <v>12.84</v>
      </c>
      <c r="D102" s="84">
        <f t="shared" si="35"/>
        <v>60</v>
      </c>
      <c r="E102" s="84">
        <f t="shared" si="35"/>
        <v>25</v>
      </c>
      <c r="F102" s="84">
        <f t="shared" si="35"/>
        <v>31</v>
      </c>
      <c r="G102" s="84">
        <f t="shared" si="35"/>
        <v>14</v>
      </c>
      <c r="H102" s="84">
        <f t="shared" si="35"/>
        <v>18</v>
      </c>
      <c r="I102" s="84">
        <f t="shared" si="35"/>
        <v>31</v>
      </c>
      <c r="J102" s="84">
        <f t="shared" si="35"/>
        <v>28</v>
      </c>
      <c r="K102" s="47">
        <f t="shared" si="35"/>
        <v>27</v>
      </c>
      <c r="L102" s="83">
        <f t="shared" si="35"/>
        <v>0</v>
      </c>
      <c r="M102" s="47">
        <f t="shared" si="35"/>
        <v>37</v>
      </c>
      <c r="N102" s="50"/>
      <c r="O102" s="20">
        <f t="shared" si="34"/>
        <v>451.84</v>
      </c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>
      <c r="B103" s="2"/>
      <c r="C103" s="2"/>
      <c r="D103" s="2"/>
      <c r="E103" s="2"/>
      <c r="F103" s="2"/>
      <c r="G103" s="2"/>
      <c r="H103" s="2"/>
      <c r="I103" s="2"/>
      <c r="J103" s="2"/>
      <c r="K103" s="50"/>
      <c r="L103" s="2"/>
      <c r="O103" s="17">
        <f t="shared" si="34"/>
        <v>0</v>
      </c>
    </row>
    <row r="104">
      <c r="A104" s="80">
        <v>45918.0</v>
      </c>
      <c r="B104" s="74"/>
      <c r="C104" s="74"/>
      <c r="D104" s="74"/>
      <c r="E104" s="74"/>
      <c r="F104" s="74"/>
      <c r="G104" s="74"/>
      <c r="H104" s="74"/>
      <c r="I104" s="74"/>
      <c r="J104" s="74"/>
      <c r="K104" s="50"/>
      <c r="L104" s="74"/>
      <c r="O104" s="17">
        <f t="shared" si="34"/>
        <v>0</v>
      </c>
    </row>
    <row r="105">
      <c r="A105" s="81" t="s">
        <v>14</v>
      </c>
      <c r="B105" s="81" t="s">
        <v>29</v>
      </c>
      <c r="C105" s="81" t="s">
        <v>30</v>
      </c>
      <c r="D105" s="81" t="s">
        <v>17</v>
      </c>
      <c r="E105" s="81" t="s">
        <v>31</v>
      </c>
      <c r="F105" s="81" t="s">
        <v>19</v>
      </c>
      <c r="G105" s="81" t="s">
        <v>20</v>
      </c>
      <c r="H105" s="81" t="s">
        <v>21</v>
      </c>
      <c r="I105" s="81" t="s">
        <v>22</v>
      </c>
      <c r="J105" s="81" t="s">
        <v>23</v>
      </c>
      <c r="K105" s="44" t="s">
        <v>24</v>
      </c>
      <c r="L105" s="81" t="s">
        <v>25</v>
      </c>
      <c r="M105" s="75" t="s">
        <v>53</v>
      </c>
      <c r="O105" s="17">
        <f>sum(C105:M105)</f>
        <v>0</v>
      </c>
    </row>
    <row r="106">
      <c r="A106" s="82" t="s">
        <v>26</v>
      </c>
      <c r="B106" s="73">
        <v>40.0</v>
      </c>
      <c r="C106" s="73">
        <v>12.78</v>
      </c>
      <c r="D106" s="73">
        <v>50.0</v>
      </c>
      <c r="E106" s="73">
        <v>28.0</v>
      </c>
      <c r="F106" s="73">
        <v>10.0</v>
      </c>
      <c r="G106" s="73">
        <v>10.0</v>
      </c>
      <c r="H106" s="73">
        <v>11.0</v>
      </c>
      <c r="I106" s="73">
        <v>18.0</v>
      </c>
      <c r="J106" s="73">
        <v>29.0</v>
      </c>
      <c r="K106" s="45">
        <v>27.0</v>
      </c>
      <c r="L106" s="73">
        <v>121.0</v>
      </c>
      <c r="M106" s="73">
        <v>25.0</v>
      </c>
      <c r="O106" s="17">
        <f t="shared" ref="O106:O110" si="36">sum(B106:M106)</f>
        <v>381.78</v>
      </c>
    </row>
    <row r="107">
      <c r="A107" s="82" t="s">
        <v>27</v>
      </c>
      <c r="B107" s="73">
        <v>45.0</v>
      </c>
      <c r="C107" s="73">
        <v>4.55</v>
      </c>
      <c r="D107" s="73">
        <v>0.0</v>
      </c>
      <c r="E107" s="73">
        <v>6.0</v>
      </c>
      <c r="F107" s="73">
        <v>6.0</v>
      </c>
      <c r="G107" s="73">
        <v>5.0</v>
      </c>
      <c r="H107" s="73">
        <v>9.0</v>
      </c>
      <c r="I107" s="73">
        <v>16.0</v>
      </c>
      <c r="J107" s="73">
        <v>8.0</v>
      </c>
      <c r="K107" s="45">
        <v>1.0</v>
      </c>
      <c r="L107" s="73">
        <v>0.0</v>
      </c>
      <c r="M107" s="73">
        <v>0.0</v>
      </c>
      <c r="O107" s="76">
        <f t="shared" si="36"/>
        <v>100.55</v>
      </c>
    </row>
    <row r="108">
      <c r="A108" s="83" t="s">
        <v>28</v>
      </c>
      <c r="B108" s="84">
        <f t="shared" ref="B108:M108" si="37">SUM(B106:B107)</f>
        <v>85</v>
      </c>
      <c r="C108" s="84">
        <f t="shared" si="37"/>
        <v>17.33</v>
      </c>
      <c r="D108" s="84">
        <f t="shared" si="37"/>
        <v>50</v>
      </c>
      <c r="E108" s="84">
        <f t="shared" si="37"/>
        <v>34</v>
      </c>
      <c r="F108" s="84">
        <f t="shared" si="37"/>
        <v>16</v>
      </c>
      <c r="G108" s="84">
        <f t="shared" si="37"/>
        <v>15</v>
      </c>
      <c r="H108" s="84">
        <f t="shared" si="37"/>
        <v>20</v>
      </c>
      <c r="I108" s="84">
        <f t="shared" si="37"/>
        <v>34</v>
      </c>
      <c r="J108" s="84">
        <f t="shared" si="37"/>
        <v>37</v>
      </c>
      <c r="K108" s="47">
        <f t="shared" si="37"/>
        <v>28</v>
      </c>
      <c r="L108" s="83">
        <f t="shared" si="37"/>
        <v>121</v>
      </c>
      <c r="M108" s="47">
        <f t="shared" si="37"/>
        <v>25</v>
      </c>
      <c r="O108" s="20">
        <f t="shared" si="36"/>
        <v>482.33</v>
      </c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50"/>
      <c r="L109" s="2"/>
      <c r="O109" s="17">
        <f t="shared" si="36"/>
        <v>0</v>
      </c>
    </row>
    <row r="110">
      <c r="A110" s="80">
        <v>45919.0</v>
      </c>
      <c r="B110" s="74"/>
      <c r="C110" s="74"/>
      <c r="D110" s="74"/>
      <c r="E110" s="74"/>
      <c r="F110" s="74"/>
      <c r="G110" s="74"/>
      <c r="H110" s="74"/>
      <c r="I110" s="74"/>
      <c r="J110" s="74"/>
      <c r="K110" s="50"/>
      <c r="L110" s="74"/>
      <c r="O110" s="17">
        <f t="shared" si="36"/>
        <v>0</v>
      </c>
    </row>
    <row r="111">
      <c r="A111" s="81" t="s">
        <v>14</v>
      </c>
      <c r="B111" s="81" t="s">
        <v>29</v>
      </c>
      <c r="C111" s="81" t="s">
        <v>30</v>
      </c>
      <c r="D111" s="81" t="s">
        <v>17</v>
      </c>
      <c r="E111" s="81" t="s">
        <v>31</v>
      </c>
      <c r="F111" s="81" t="s">
        <v>19</v>
      </c>
      <c r="G111" s="81" t="s">
        <v>20</v>
      </c>
      <c r="H111" s="81" t="s">
        <v>21</v>
      </c>
      <c r="I111" s="81" t="s">
        <v>22</v>
      </c>
      <c r="J111" s="81" t="s">
        <v>23</v>
      </c>
      <c r="K111" s="44" t="s">
        <v>24</v>
      </c>
      <c r="L111" s="81" t="s">
        <v>25</v>
      </c>
      <c r="M111" s="75" t="s">
        <v>53</v>
      </c>
      <c r="O111" s="17">
        <f>sum(C111:M111)</f>
        <v>0</v>
      </c>
    </row>
    <row r="112">
      <c r="A112" s="82" t="s">
        <v>26</v>
      </c>
      <c r="B112" s="73">
        <v>55.0</v>
      </c>
      <c r="C112" s="73">
        <v>11.67</v>
      </c>
      <c r="D112" s="73">
        <v>38.0</v>
      </c>
      <c r="E112" s="73">
        <v>19.0</v>
      </c>
      <c r="F112" s="73">
        <v>8.0</v>
      </c>
      <c r="G112" s="73">
        <v>2.0</v>
      </c>
      <c r="H112" s="73">
        <v>18.0</v>
      </c>
      <c r="I112" s="73">
        <v>15.0</v>
      </c>
      <c r="J112" s="73">
        <v>18.0</v>
      </c>
      <c r="K112" s="45">
        <v>27.0</v>
      </c>
      <c r="L112" s="73">
        <v>78.0</v>
      </c>
      <c r="M112" s="73">
        <v>30.0</v>
      </c>
      <c r="O112" s="17">
        <f t="shared" ref="O112:O116" si="38">sum(B112:M112)</f>
        <v>319.67</v>
      </c>
    </row>
    <row r="113">
      <c r="A113" s="82" t="s">
        <v>27</v>
      </c>
      <c r="B113" s="73">
        <v>28.0</v>
      </c>
      <c r="C113" s="73">
        <v>6.45</v>
      </c>
      <c r="D113" s="73">
        <v>0.0</v>
      </c>
      <c r="E113" s="73">
        <v>8.0</v>
      </c>
      <c r="F113" s="73">
        <v>5.0</v>
      </c>
      <c r="G113" s="73">
        <v>6.0</v>
      </c>
      <c r="H113" s="73">
        <v>3.0</v>
      </c>
      <c r="I113" s="73">
        <v>11.0</v>
      </c>
      <c r="J113" s="73">
        <v>9.0</v>
      </c>
      <c r="K113" s="45">
        <v>1.0</v>
      </c>
      <c r="L113" s="73">
        <v>0.0</v>
      </c>
      <c r="M113" s="73">
        <v>0.0</v>
      </c>
      <c r="O113" s="76">
        <f t="shared" si="38"/>
        <v>77.45</v>
      </c>
    </row>
    <row r="114">
      <c r="A114" s="83" t="s">
        <v>28</v>
      </c>
      <c r="B114" s="84">
        <f t="shared" ref="B114:M114" si="39">SUM(B112:B113)</f>
        <v>83</v>
      </c>
      <c r="C114" s="84">
        <f t="shared" si="39"/>
        <v>18.12</v>
      </c>
      <c r="D114" s="84">
        <f t="shared" si="39"/>
        <v>38</v>
      </c>
      <c r="E114" s="84">
        <f t="shared" si="39"/>
        <v>27</v>
      </c>
      <c r="F114" s="84">
        <f t="shared" si="39"/>
        <v>13</v>
      </c>
      <c r="G114" s="84">
        <f t="shared" si="39"/>
        <v>8</v>
      </c>
      <c r="H114" s="84">
        <f t="shared" si="39"/>
        <v>21</v>
      </c>
      <c r="I114" s="84">
        <f t="shared" si="39"/>
        <v>26</v>
      </c>
      <c r="J114" s="84">
        <f t="shared" si="39"/>
        <v>27</v>
      </c>
      <c r="K114" s="47">
        <f t="shared" si="39"/>
        <v>28</v>
      </c>
      <c r="L114" s="83">
        <f t="shared" si="39"/>
        <v>78</v>
      </c>
      <c r="M114" s="47">
        <f t="shared" si="39"/>
        <v>30</v>
      </c>
      <c r="O114" s="20">
        <f t="shared" si="38"/>
        <v>397.12</v>
      </c>
    </row>
    <row r="115">
      <c r="B115" s="2"/>
      <c r="C115" s="2"/>
      <c r="D115" s="2"/>
      <c r="E115" s="2"/>
      <c r="F115" s="2"/>
      <c r="G115" s="2"/>
      <c r="H115" s="2"/>
      <c r="I115" s="2"/>
      <c r="J115" s="2"/>
      <c r="L115" s="2"/>
      <c r="O115" s="17">
        <f t="shared" si="38"/>
        <v>0</v>
      </c>
    </row>
    <row r="116">
      <c r="A116" s="80">
        <v>45920.0</v>
      </c>
      <c r="B116" s="74"/>
      <c r="C116" s="74"/>
      <c r="D116" s="74"/>
      <c r="E116" s="74"/>
      <c r="F116" s="74"/>
      <c r="G116" s="74"/>
      <c r="H116" s="74"/>
      <c r="I116" s="74"/>
      <c r="J116" s="74"/>
      <c r="K116" s="50"/>
      <c r="L116" s="74"/>
      <c r="O116" s="17">
        <f t="shared" si="38"/>
        <v>0</v>
      </c>
    </row>
    <row r="117">
      <c r="A117" s="81" t="s">
        <v>14</v>
      </c>
      <c r="B117" s="81" t="s">
        <v>29</v>
      </c>
      <c r="C117" s="81" t="s">
        <v>30</v>
      </c>
      <c r="D117" s="81" t="s">
        <v>17</v>
      </c>
      <c r="E117" s="81" t="s">
        <v>31</v>
      </c>
      <c r="F117" s="81" t="s">
        <v>19</v>
      </c>
      <c r="G117" s="81" t="s">
        <v>20</v>
      </c>
      <c r="H117" s="81" t="s">
        <v>21</v>
      </c>
      <c r="I117" s="81" t="s">
        <v>22</v>
      </c>
      <c r="J117" s="81" t="s">
        <v>23</v>
      </c>
      <c r="K117" s="44" t="s">
        <v>24</v>
      </c>
      <c r="L117" s="81" t="s">
        <v>25</v>
      </c>
      <c r="M117" s="75" t="s">
        <v>53</v>
      </c>
      <c r="O117" s="17">
        <f>sum(C117:M117)</f>
        <v>0</v>
      </c>
    </row>
    <row r="118">
      <c r="A118" s="82" t="s">
        <v>26</v>
      </c>
      <c r="B118" s="73">
        <v>0.0</v>
      </c>
      <c r="C118" s="73">
        <v>13.93</v>
      </c>
      <c r="D118" s="73">
        <v>40.0</v>
      </c>
      <c r="E118" s="73">
        <v>13.0</v>
      </c>
      <c r="F118" s="73">
        <v>4.0</v>
      </c>
      <c r="G118" s="73">
        <v>3.0</v>
      </c>
      <c r="H118" s="73">
        <v>10.0</v>
      </c>
      <c r="I118" s="73">
        <v>12.0</v>
      </c>
      <c r="J118" s="73">
        <v>22.0</v>
      </c>
      <c r="K118" s="73">
        <v>24.0</v>
      </c>
      <c r="L118" s="73">
        <v>60.0</v>
      </c>
      <c r="M118" s="73">
        <v>16.0</v>
      </c>
      <c r="O118" s="17">
        <f t="shared" ref="O118:O122" si="40">sum(B118:M118)</f>
        <v>217.93</v>
      </c>
    </row>
    <row r="119">
      <c r="A119" s="82" t="s">
        <v>27</v>
      </c>
      <c r="B119" s="73">
        <v>0.0</v>
      </c>
      <c r="C119" s="73">
        <v>7.8</v>
      </c>
      <c r="D119" s="73">
        <v>45.0</v>
      </c>
      <c r="E119" s="73">
        <v>6.0</v>
      </c>
      <c r="F119" s="73">
        <v>3.0</v>
      </c>
      <c r="G119" s="73">
        <v>10.0</v>
      </c>
      <c r="H119" s="73">
        <v>4.0</v>
      </c>
      <c r="I119" s="73">
        <v>10.0</v>
      </c>
      <c r="J119" s="73">
        <v>8.0</v>
      </c>
      <c r="K119" s="73">
        <v>1.0</v>
      </c>
      <c r="L119" s="73">
        <v>0.0</v>
      </c>
      <c r="M119" s="73">
        <v>0.0</v>
      </c>
      <c r="O119" s="76">
        <f t="shared" si="40"/>
        <v>94.8</v>
      </c>
    </row>
    <row r="120">
      <c r="A120" s="83" t="s">
        <v>28</v>
      </c>
      <c r="B120" s="84">
        <f t="shared" ref="B120:M120" si="41">SUM(B118:B119)</f>
        <v>0</v>
      </c>
      <c r="C120" s="84">
        <f t="shared" si="41"/>
        <v>21.73</v>
      </c>
      <c r="D120" s="84">
        <f t="shared" si="41"/>
        <v>85</v>
      </c>
      <c r="E120" s="84">
        <f t="shared" si="41"/>
        <v>19</v>
      </c>
      <c r="F120" s="84">
        <f t="shared" si="41"/>
        <v>7</v>
      </c>
      <c r="G120" s="84">
        <f t="shared" si="41"/>
        <v>13</v>
      </c>
      <c r="H120" s="84">
        <f t="shared" si="41"/>
        <v>14</v>
      </c>
      <c r="I120" s="84">
        <f t="shared" si="41"/>
        <v>22</v>
      </c>
      <c r="J120" s="84">
        <f t="shared" si="41"/>
        <v>30</v>
      </c>
      <c r="K120" s="47">
        <f t="shared" si="41"/>
        <v>25</v>
      </c>
      <c r="L120" s="83">
        <f t="shared" si="41"/>
        <v>60</v>
      </c>
      <c r="M120" s="47">
        <f t="shared" si="41"/>
        <v>16</v>
      </c>
      <c r="O120" s="20">
        <f t="shared" si="40"/>
        <v>312.73</v>
      </c>
    </row>
    <row r="121">
      <c r="B121" s="2"/>
      <c r="C121" s="2"/>
      <c r="D121" s="2"/>
      <c r="E121" s="2"/>
      <c r="F121" s="2"/>
      <c r="G121" s="2"/>
      <c r="H121" s="2"/>
      <c r="I121" s="2"/>
      <c r="J121" s="2"/>
      <c r="L121" s="2"/>
      <c r="O121" s="17">
        <f t="shared" si="40"/>
        <v>0</v>
      </c>
    </row>
    <row r="122">
      <c r="A122" s="80">
        <v>45921.0</v>
      </c>
      <c r="B122" s="74"/>
      <c r="C122" s="74"/>
      <c r="D122" s="74"/>
      <c r="E122" s="74"/>
      <c r="F122" s="74"/>
      <c r="G122" s="74"/>
      <c r="H122" s="74"/>
      <c r="I122" s="74"/>
      <c r="J122" s="74"/>
      <c r="K122" s="50"/>
      <c r="L122" s="74"/>
      <c r="O122" s="17">
        <f t="shared" si="40"/>
        <v>0</v>
      </c>
    </row>
    <row r="123">
      <c r="A123" s="81" t="s">
        <v>14</v>
      </c>
      <c r="B123" s="81" t="s">
        <v>29</v>
      </c>
      <c r="C123" s="81" t="s">
        <v>30</v>
      </c>
      <c r="D123" s="81" t="s">
        <v>17</v>
      </c>
      <c r="E123" s="81" t="s">
        <v>31</v>
      </c>
      <c r="F123" s="81" t="s">
        <v>19</v>
      </c>
      <c r="G123" s="81" t="s">
        <v>20</v>
      </c>
      <c r="H123" s="81" t="s">
        <v>21</v>
      </c>
      <c r="I123" s="81" t="s">
        <v>22</v>
      </c>
      <c r="J123" s="81" t="s">
        <v>23</v>
      </c>
      <c r="K123" s="44" t="s">
        <v>24</v>
      </c>
      <c r="L123" s="81" t="s">
        <v>25</v>
      </c>
      <c r="M123" s="75" t="s">
        <v>53</v>
      </c>
      <c r="O123" s="17">
        <f>sum(C123:M123)</f>
        <v>0</v>
      </c>
    </row>
    <row r="124">
      <c r="A124" s="82" t="s">
        <v>26</v>
      </c>
      <c r="B124" s="73">
        <v>26.0</v>
      </c>
      <c r="C124" s="73">
        <v>16.36</v>
      </c>
      <c r="D124" s="73">
        <v>50.0</v>
      </c>
      <c r="E124" s="73">
        <v>14.0</v>
      </c>
      <c r="F124" s="73">
        <v>8.0</v>
      </c>
      <c r="G124" s="73">
        <v>7.0</v>
      </c>
      <c r="H124" s="73">
        <v>11.0</v>
      </c>
      <c r="I124" s="73">
        <v>18.0</v>
      </c>
      <c r="J124" s="73">
        <v>19.0</v>
      </c>
      <c r="K124" s="73">
        <v>20.0</v>
      </c>
      <c r="L124" s="73">
        <v>0.0</v>
      </c>
      <c r="M124" s="73">
        <v>16.0</v>
      </c>
      <c r="O124" s="17">
        <f t="shared" ref="O124:O128" si="42">sum(B124:M124)</f>
        <v>205.36</v>
      </c>
    </row>
    <row r="125">
      <c r="A125" s="82" t="s">
        <v>27</v>
      </c>
      <c r="B125" s="73">
        <v>13.0</v>
      </c>
      <c r="C125" s="73">
        <v>5.63</v>
      </c>
      <c r="D125" s="73">
        <v>0.0</v>
      </c>
      <c r="E125" s="73">
        <v>3.0</v>
      </c>
      <c r="F125" s="73">
        <v>2.0</v>
      </c>
      <c r="G125" s="73">
        <v>6.0</v>
      </c>
      <c r="H125" s="73">
        <v>7.0</v>
      </c>
      <c r="I125" s="73">
        <v>14.0</v>
      </c>
      <c r="J125" s="73">
        <v>10.0</v>
      </c>
      <c r="K125" s="73">
        <v>3.0</v>
      </c>
      <c r="L125" s="73">
        <v>0.0</v>
      </c>
      <c r="M125" s="73">
        <v>0.0</v>
      </c>
      <c r="O125" s="76">
        <f t="shared" si="42"/>
        <v>63.63</v>
      </c>
    </row>
    <row r="126">
      <c r="A126" s="83" t="s">
        <v>28</v>
      </c>
      <c r="B126" s="84">
        <f t="shared" ref="B126:M126" si="43">SUM(B124:B125)</f>
        <v>39</v>
      </c>
      <c r="C126" s="84">
        <f t="shared" si="43"/>
        <v>21.99</v>
      </c>
      <c r="D126" s="84">
        <f t="shared" si="43"/>
        <v>50</v>
      </c>
      <c r="E126" s="84">
        <f t="shared" si="43"/>
        <v>17</v>
      </c>
      <c r="F126" s="84">
        <f t="shared" si="43"/>
        <v>10</v>
      </c>
      <c r="G126" s="84">
        <f t="shared" si="43"/>
        <v>13</v>
      </c>
      <c r="H126" s="84">
        <f t="shared" si="43"/>
        <v>18</v>
      </c>
      <c r="I126" s="84">
        <f t="shared" si="43"/>
        <v>32</v>
      </c>
      <c r="J126" s="84">
        <f t="shared" si="43"/>
        <v>29</v>
      </c>
      <c r="K126" s="47">
        <f t="shared" si="43"/>
        <v>23</v>
      </c>
      <c r="L126" s="83">
        <f t="shared" si="43"/>
        <v>0</v>
      </c>
      <c r="M126" s="47">
        <f t="shared" si="43"/>
        <v>16</v>
      </c>
      <c r="O126" s="20">
        <f t="shared" si="42"/>
        <v>268.99</v>
      </c>
    </row>
    <row r="127">
      <c r="B127" s="2"/>
      <c r="C127" s="2"/>
      <c r="D127" s="2"/>
      <c r="E127" s="2"/>
      <c r="F127" s="2"/>
      <c r="G127" s="2"/>
      <c r="H127" s="2"/>
      <c r="I127" s="2"/>
      <c r="J127" s="2"/>
      <c r="L127" s="2"/>
      <c r="O127" s="17">
        <f t="shared" si="42"/>
        <v>0</v>
      </c>
    </row>
    <row r="128">
      <c r="A128" s="80">
        <v>45922.0</v>
      </c>
      <c r="B128" s="74"/>
      <c r="C128" s="74"/>
      <c r="D128" s="74"/>
      <c r="E128" s="74"/>
      <c r="F128" s="74"/>
      <c r="G128" s="74"/>
      <c r="H128" s="74"/>
      <c r="I128" s="74"/>
      <c r="J128" s="74"/>
      <c r="K128" s="50"/>
      <c r="L128" s="74"/>
      <c r="O128" s="17">
        <f t="shared" si="42"/>
        <v>0</v>
      </c>
    </row>
    <row r="129">
      <c r="A129" s="81" t="s">
        <v>14</v>
      </c>
      <c r="B129" s="81" t="s">
        <v>29</v>
      </c>
      <c r="C129" s="81" t="s">
        <v>30</v>
      </c>
      <c r="D129" s="81" t="s">
        <v>17</v>
      </c>
      <c r="E129" s="81" t="s">
        <v>31</v>
      </c>
      <c r="F129" s="81" t="s">
        <v>19</v>
      </c>
      <c r="G129" s="81" t="s">
        <v>20</v>
      </c>
      <c r="H129" s="81" t="s">
        <v>21</v>
      </c>
      <c r="I129" s="81" t="s">
        <v>22</v>
      </c>
      <c r="J129" s="81" t="s">
        <v>23</v>
      </c>
      <c r="K129" s="44" t="s">
        <v>24</v>
      </c>
      <c r="L129" s="81" t="s">
        <v>25</v>
      </c>
      <c r="M129" s="75" t="s">
        <v>53</v>
      </c>
      <c r="O129" s="17">
        <f>sum(C129:M129)</f>
        <v>0</v>
      </c>
    </row>
    <row r="130">
      <c r="A130" s="82" t="s">
        <v>26</v>
      </c>
      <c r="B130" s="73">
        <v>25.0</v>
      </c>
      <c r="C130" s="73">
        <v>22.28</v>
      </c>
      <c r="D130" s="73">
        <v>35.0</v>
      </c>
      <c r="E130" s="73">
        <v>12.0</v>
      </c>
      <c r="F130" s="73">
        <v>4.0</v>
      </c>
      <c r="G130" s="73">
        <v>3.0</v>
      </c>
      <c r="H130" s="73">
        <v>10.0</v>
      </c>
      <c r="I130" s="73">
        <v>12.0</v>
      </c>
      <c r="J130" s="73">
        <v>25.0</v>
      </c>
      <c r="K130" s="73">
        <v>19.0</v>
      </c>
      <c r="L130" s="73">
        <v>60.0</v>
      </c>
      <c r="M130" s="73">
        <v>22.0</v>
      </c>
      <c r="O130" s="17">
        <f t="shared" ref="O130:O134" si="44">sum(B130:M130)</f>
        <v>249.28</v>
      </c>
    </row>
    <row r="131">
      <c r="A131" s="82" t="s">
        <v>27</v>
      </c>
      <c r="B131" s="73">
        <v>22.0</v>
      </c>
      <c r="C131" s="73">
        <v>11.29</v>
      </c>
      <c r="D131" s="73">
        <v>0.0</v>
      </c>
      <c r="E131" s="73">
        <v>4.0</v>
      </c>
      <c r="F131" s="73">
        <v>6.0</v>
      </c>
      <c r="G131" s="73">
        <v>9.0</v>
      </c>
      <c r="H131" s="73">
        <v>4.0</v>
      </c>
      <c r="I131" s="73">
        <v>10.0</v>
      </c>
      <c r="J131" s="73">
        <v>11.0</v>
      </c>
      <c r="K131" s="73">
        <v>1.0</v>
      </c>
      <c r="L131" s="73">
        <v>0.0</v>
      </c>
      <c r="M131" s="73">
        <v>0.0</v>
      </c>
      <c r="O131" s="76">
        <f t="shared" si="44"/>
        <v>78.29</v>
      </c>
    </row>
    <row r="132">
      <c r="A132" s="83" t="s">
        <v>28</v>
      </c>
      <c r="B132" s="84">
        <f t="shared" ref="B132:M132" si="45">SUM(B130:B131)</f>
        <v>47</v>
      </c>
      <c r="C132" s="84">
        <f t="shared" si="45"/>
        <v>33.57</v>
      </c>
      <c r="D132" s="84">
        <f t="shared" si="45"/>
        <v>35</v>
      </c>
      <c r="E132" s="84">
        <f t="shared" si="45"/>
        <v>16</v>
      </c>
      <c r="F132" s="84">
        <f t="shared" si="45"/>
        <v>10</v>
      </c>
      <c r="G132" s="84">
        <f t="shared" si="45"/>
        <v>12</v>
      </c>
      <c r="H132" s="84">
        <f t="shared" si="45"/>
        <v>14</v>
      </c>
      <c r="I132" s="84">
        <f t="shared" si="45"/>
        <v>22</v>
      </c>
      <c r="J132" s="84">
        <f t="shared" si="45"/>
        <v>36</v>
      </c>
      <c r="K132" s="47">
        <f t="shared" si="45"/>
        <v>20</v>
      </c>
      <c r="L132" s="83">
        <f t="shared" si="45"/>
        <v>60</v>
      </c>
      <c r="M132" s="47">
        <f t="shared" si="45"/>
        <v>22</v>
      </c>
      <c r="O132" s="20">
        <f t="shared" si="44"/>
        <v>327.57</v>
      </c>
    </row>
    <row r="133">
      <c r="B133" s="2"/>
      <c r="C133" s="2"/>
      <c r="D133" s="2"/>
      <c r="E133" s="2"/>
      <c r="F133" s="2"/>
      <c r="G133" s="2"/>
      <c r="H133" s="2"/>
      <c r="I133" s="2"/>
      <c r="J133" s="2"/>
      <c r="L133" s="2"/>
      <c r="O133" s="17">
        <f t="shared" si="44"/>
        <v>0</v>
      </c>
    </row>
    <row r="134">
      <c r="A134" s="80">
        <v>45923.0</v>
      </c>
      <c r="B134" s="74"/>
      <c r="C134" s="74"/>
      <c r="D134" s="74"/>
      <c r="E134" s="74"/>
      <c r="F134" s="74"/>
      <c r="G134" s="74"/>
      <c r="H134" s="74"/>
      <c r="I134" s="74"/>
      <c r="J134" s="74"/>
      <c r="K134" s="50"/>
      <c r="L134" s="74"/>
      <c r="O134" s="17">
        <f t="shared" si="44"/>
        <v>0</v>
      </c>
    </row>
    <row r="135">
      <c r="A135" s="81" t="s">
        <v>14</v>
      </c>
      <c r="B135" s="81" t="s">
        <v>29</v>
      </c>
      <c r="C135" s="81" t="s">
        <v>30</v>
      </c>
      <c r="D135" s="81" t="s">
        <v>17</v>
      </c>
      <c r="E135" s="81" t="s">
        <v>31</v>
      </c>
      <c r="F135" s="81" t="s">
        <v>19</v>
      </c>
      <c r="G135" s="81" t="s">
        <v>20</v>
      </c>
      <c r="H135" s="81" t="s">
        <v>21</v>
      </c>
      <c r="I135" s="81" t="s">
        <v>22</v>
      </c>
      <c r="J135" s="81" t="s">
        <v>23</v>
      </c>
      <c r="K135" s="44" t="s">
        <v>24</v>
      </c>
      <c r="L135" s="81" t="s">
        <v>25</v>
      </c>
      <c r="M135" s="75" t="s">
        <v>53</v>
      </c>
      <c r="O135" s="17">
        <f>sum(C135:M135)</f>
        <v>0</v>
      </c>
    </row>
    <row r="136">
      <c r="A136" s="82" t="s">
        <v>26</v>
      </c>
      <c r="B136" s="73">
        <v>102.0</v>
      </c>
      <c r="C136" s="73">
        <v>12.45</v>
      </c>
      <c r="D136" s="73">
        <v>45.0</v>
      </c>
      <c r="E136" s="73">
        <v>11.0</v>
      </c>
      <c r="F136" s="73">
        <v>9.0</v>
      </c>
      <c r="G136" s="73">
        <v>9.0</v>
      </c>
      <c r="H136" s="73">
        <v>10.0</v>
      </c>
      <c r="I136" s="73">
        <v>6.0</v>
      </c>
      <c r="J136" s="73">
        <v>20.0</v>
      </c>
      <c r="K136" s="73">
        <v>25.0</v>
      </c>
      <c r="L136" s="73">
        <v>63.0</v>
      </c>
      <c r="M136" s="73">
        <v>31.0</v>
      </c>
      <c r="O136" s="17">
        <f t="shared" ref="O136:O140" si="46">sum(B136:M136)</f>
        <v>343.45</v>
      </c>
    </row>
    <row r="137">
      <c r="A137" s="82" t="s">
        <v>27</v>
      </c>
      <c r="B137" s="73">
        <v>70.0</v>
      </c>
      <c r="C137" s="73">
        <v>3.63</v>
      </c>
      <c r="D137" s="73">
        <v>0.0</v>
      </c>
      <c r="E137" s="73">
        <v>5.0</v>
      </c>
      <c r="F137" s="73">
        <v>3.0</v>
      </c>
      <c r="G137" s="73">
        <v>2.0</v>
      </c>
      <c r="H137" s="73">
        <v>3.0</v>
      </c>
      <c r="I137" s="73">
        <v>5.0</v>
      </c>
      <c r="J137" s="73">
        <v>4.0</v>
      </c>
      <c r="K137" s="73">
        <v>3.0</v>
      </c>
      <c r="L137" s="73">
        <v>0.0</v>
      </c>
      <c r="M137" s="73">
        <v>0.0</v>
      </c>
      <c r="O137" s="76">
        <f t="shared" si="46"/>
        <v>98.63</v>
      </c>
    </row>
    <row r="138">
      <c r="A138" s="83" t="s">
        <v>28</v>
      </c>
      <c r="B138" s="84">
        <f t="shared" ref="B138:M138" si="47">SUM(B136:B137)</f>
        <v>172</v>
      </c>
      <c r="C138" s="84">
        <f t="shared" si="47"/>
        <v>16.08</v>
      </c>
      <c r="D138" s="84">
        <f t="shared" si="47"/>
        <v>45</v>
      </c>
      <c r="E138" s="84">
        <f t="shared" si="47"/>
        <v>16</v>
      </c>
      <c r="F138" s="84">
        <f t="shared" si="47"/>
        <v>12</v>
      </c>
      <c r="G138" s="84">
        <f t="shared" si="47"/>
        <v>11</v>
      </c>
      <c r="H138" s="84">
        <f t="shared" si="47"/>
        <v>13</v>
      </c>
      <c r="I138" s="84">
        <f t="shared" si="47"/>
        <v>11</v>
      </c>
      <c r="J138" s="84">
        <f t="shared" si="47"/>
        <v>24</v>
      </c>
      <c r="K138" s="47">
        <f t="shared" si="47"/>
        <v>28</v>
      </c>
      <c r="L138" s="83">
        <f t="shared" si="47"/>
        <v>63</v>
      </c>
      <c r="M138" s="47">
        <f t="shared" si="47"/>
        <v>31</v>
      </c>
      <c r="O138" s="20">
        <f t="shared" si="46"/>
        <v>442.08</v>
      </c>
    </row>
    <row r="139">
      <c r="B139" s="2"/>
      <c r="C139" s="2"/>
      <c r="D139" s="2"/>
      <c r="E139" s="2"/>
      <c r="F139" s="2"/>
      <c r="G139" s="2"/>
      <c r="H139" s="2"/>
      <c r="I139" s="2"/>
      <c r="J139" s="2"/>
      <c r="L139" s="2"/>
      <c r="O139" s="17">
        <f t="shared" si="46"/>
        <v>0</v>
      </c>
    </row>
    <row r="140">
      <c r="A140" s="80">
        <v>45924.0</v>
      </c>
      <c r="B140" s="74"/>
      <c r="C140" s="74"/>
      <c r="D140" s="74"/>
      <c r="E140" s="74"/>
      <c r="F140" s="74"/>
      <c r="G140" s="74"/>
      <c r="H140" s="74"/>
      <c r="I140" s="74"/>
      <c r="J140" s="74"/>
      <c r="K140" s="50"/>
      <c r="L140" s="74"/>
      <c r="O140" s="17">
        <f t="shared" si="46"/>
        <v>0</v>
      </c>
    </row>
    <row r="141">
      <c r="A141" s="81" t="s">
        <v>14</v>
      </c>
      <c r="B141" s="81" t="s">
        <v>29</v>
      </c>
      <c r="C141" s="81" t="s">
        <v>30</v>
      </c>
      <c r="D141" s="81" t="s">
        <v>17</v>
      </c>
      <c r="E141" s="81" t="s">
        <v>31</v>
      </c>
      <c r="F141" s="81" t="s">
        <v>19</v>
      </c>
      <c r="G141" s="81" t="s">
        <v>20</v>
      </c>
      <c r="H141" s="81" t="s">
        <v>21</v>
      </c>
      <c r="I141" s="81" t="s">
        <v>22</v>
      </c>
      <c r="J141" s="81" t="s">
        <v>23</v>
      </c>
      <c r="K141" s="44" t="s">
        <v>24</v>
      </c>
      <c r="L141" s="81" t="s">
        <v>25</v>
      </c>
      <c r="M141" s="75" t="s">
        <v>53</v>
      </c>
      <c r="O141" s="17">
        <f>sum(C141:M141)</f>
        <v>0</v>
      </c>
    </row>
    <row r="142">
      <c r="A142" s="82" t="s">
        <v>26</v>
      </c>
      <c r="B142" s="73">
        <v>66.0</v>
      </c>
      <c r="C142" s="73">
        <v>18.77</v>
      </c>
      <c r="D142" s="73">
        <v>33.0</v>
      </c>
      <c r="E142" s="73">
        <v>10.0</v>
      </c>
      <c r="F142" s="73">
        <v>9.0</v>
      </c>
      <c r="G142" s="73">
        <v>10.0</v>
      </c>
      <c r="H142" s="73">
        <v>16.0</v>
      </c>
      <c r="I142" s="73">
        <v>9.0</v>
      </c>
      <c r="J142" s="73">
        <v>35.0</v>
      </c>
      <c r="K142" s="73">
        <v>30.0</v>
      </c>
      <c r="L142" s="73">
        <v>99.0</v>
      </c>
      <c r="M142" s="73">
        <v>34.0</v>
      </c>
      <c r="O142" s="17">
        <f t="shared" ref="O142:O146" si="48">sum(B142:M142)</f>
        <v>369.77</v>
      </c>
    </row>
    <row r="143">
      <c r="A143" s="82" t="s">
        <v>27</v>
      </c>
      <c r="B143" s="73">
        <v>39.0</v>
      </c>
      <c r="C143" s="73">
        <v>8.36</v>
      </c>
      <c r="D143" s="73">
        <v>0.0</v>
      </c>
      <c r="E143" s="73">
        <v>4.0</v>
      </c>
      <c r="F143" s="73">
        <v>3.0</v>
      </c>
      <c r="G143" s="73">
        <v>2.0</v>
      </c>
      <c r="H143" s="73">
        <v>3.0</v>
      </c>
      <c r="I143" s="73">
        <v>6.0</v>
      </c>
      <c r="J143" s="73">
        <v>13.0</v>
      </c>
      <c r="K143" s="73">
        <v>3.0</v>
      </c>
      <c r="L143" s="73">
        <v>0.0</v>
      </c>
      <c r="M143" s="73">
        <v>0.0</v>
      </c>
      <c r="O143" s="76">
        <f t="shared" si="48"/>
        <v>81.36</v>
      </c>
    </row>
    <row r="144">
      <c r="A144" s="83" t="s">
        <v>28</v>
      </c>
      <c r="B144" s="84">
        <f t="shared" ref="B144:M144" si="49">SUM(B142:B143)</f>
        <v>105</v>
      </c>
      <c r="C144" s="84">
        <f t="shared" si="49"/>
        <v>27.13</v>
      </c>
      <c r="D144" s="84">
        <f t="shared" si="49"/>
        <v>33</v>
      </c>
      <c r="E144" s="84">
        <f t="shared" si="49"/>
        <v>14</v>
      </c>
      <c r="F144" s="84">
        <f t="shared" si="49"/>
        <v>12</v>
      </c>
      <c r="G144" s="84">
        <f t="shared" si="49"/>
        <v>12</v>
      </c>
      <c r="H144" s="84">
        <f t="shared" si="49"/>
        <v>19</v>
      </c>
      <c r="I144" s="84">
        <f t="shared" si="49"/>
        <v>15</v>
      </c>
      <c r="J144" s="84">
        <f t="shared" si="49"/>
        <v>48</v>
      </c>
      <c r="K144" s="47">
        <f t="shared" si="49"/>
        <v>33</v>
      </c>
      <c r="L144" s="83">
        <f t="shared" si="49"/>
        <v>99</v>
      </c>
      <c r="M144" s="47">
        <f t="shared" si="49"/>
        <v>34</v>
      </c>
      <c r="O144" s="20">
        <f t="shared" si="48"/>
        <v>451.13</v>
      </c>
    </row>
    <row r="145">
      <c r="B145" s="2"/>
      <c r="C145" s="2"/>
      <c r="D145" s="2"/>
      <c r="E145" s="2"/>
      <c r="F145" s="2"/>
      <c r="G145" s="2"/>
      <c r="H145" s="2"/>
      <c r="I145" s="2"/>
      <c r="J145" s="2"/>
      <c r="L145" s="2"/>
      <c r="O145" s="17">
        <f t="shared" si="48"/>
        <v>0</v>
      </c>
    </row>
    <row r="146">
      <c r="A146" s="80">
        <v>45925.0</v>
      </c>
      <c r="B146" s="74"/>
      <c r="C146" s="74"/>
      <c r="D146" s="74"/>
      <c r="E146" s="74"/>
      <c r="F146" s="74"/>
      <c r="G146" s="74"/>
      <c r="H146" s="74"/>
      <c r="I146" s="74"/>
      <c r="J146" s="74"/>
      <c r="K146" s="50"/>
      <c r="L146" s="74"/>
      <c r="O146" s="17">
        <f t="shared" si="48"/>
        <v>0</v>
      </c>
    </row>
    <row r="147">
      <c r="A147" s="81" t="s">
        <v>14</v>
      </c>
      <c r="B147" s="81" t="s">
        <v>29</v>
      </c>
      <c r="C147" s="81" t="s">
        <v>30</v>
      </c>
      <c r="D147" s="81" t="s">
        <v>17</v>
      </c>
      <c r="E147" s="81" t="s">
        <v>31</v>
      </c>
      <c r="F147" s="81" t="s">
        <v>19</v>
      </c>
      <c r="G147" s="81" t="s">
        <v>20</v>
      </c>
      <c r="H147" s="81" t="s">
        <v>21</v>
      </c>
      <c r="I147" s="81" t="s">
        <v>22</v>
      </c>
      <c r="J147" s="81" t="s">
        <v>23</v>
      </c>
      <c r="K147" s="44" t="s">
        <v>24</v>
      </c>
      <c r="L147" s="81" t="s">
        <v>25</v>
      </c>
      <c r="M147" s="75" t="s">
        <v>53</v>
      </c>
      <c r="O147" s="17">
        <f>sum(C147:M147)</f>
        <v>0</v>
      </c>
    </row>
    <row r="148">
      <c r="A148" s="82" t="s">
        <v>26</v>
      </c>
      <c r="B148" s="73">
        <v>52.0</v>
      </c>
      <c r="C148" s="73">
        <v>16.85</v>
      </c>
      <c r="D148" s="73">
        <v>30.0</v>
      </c>
      <c r="E148" s="73">
        <v>5.0</v>
      </c>
      <c r="F148" s="73">
        <v>6.0</v>
      </c>
      <c r="G148" s="73">
        <v>6.0</v>
      </c>
      <c r="H148" s="73">
        <v>17.0</v>
      </c>
      <c r="I148" s="73">
        <v>12.0</v>
      </c>
      <c r="J148" s="73">
        <v>20.0</v>
      </c>
      <c r="K148" s="73">
        <v>29.0</v>
      </c>
      <c r="L148" s="73">
        <v>53.0</v>
      </c>
      <c r="M148" s="73">
        <v>33.0</v>
      </c>
      <c r="O148" s="17">
        <f t="shared" ref="O148:O152" si="50">sum(B148:M148)</f>
        <v>279.85</v>
      </c>
    </row>
    <row r="149">
      <c r="A149" s="82" t="s">
        <v>27</v>
      </c>
      <c r="B149" s="73">
        <f>44+36</f>
        <v>80</v>
      </c>
      <c r="C149" s="73">
        <v>5.23</v>
      </c>
      <c r="D149" s="73">
        <v>20.0</v>
      </c>
      <c r="E149" s="73">
        <v>3.0</v>
      </c>
      <c r="F149" s="73">
        <v>4.0</v>
      </c>
      <c r="G149" s="73">
        <v>6.0</v>
      </c>
      <c r="H149" s="73">
        <v>6.0</v>
      </c>
      <c r="I149" s="73">
        <v>12.0</v>
      </c>
      <c r="J149" s="73">
        <v>5.0</v>
      </c>
      <c r="K149" s="73">
        <v>3.0</v>
      </c>
      <c r="L149" s="73">
        <v>0.0</v>
      </c>
      <c r="M149" s="73">
        <v>0.0</v>
      </c>
      <c r="O149" s="76">
        <f t="shared" si="50"/>
        <v>144.23</v>
      </c>
    </row>
    <row r="150">
      <c r="A150" s="83" t="s">
        <v>28</v>
      </c>
      <c r="B150" s="84">
        <f t="shared" ref="B150:M150" si="51">SUM(B148:B149)</f>
        <v>132</v>
      </c>
      <c r="C150" s="84">
        <f t="shared" si="51"/>
        <v>22.08</v>
      </c>
      <c r="D150" s="84">
        <f t="shared" si="51"/>
        <v>50</v>
      </c>
      <c r="E150" s="84">
        <f t="shared" si="51"/>
        <v>8</v>
      </c>
      <c r="F150" s="84">
        <f t="shared" si="51"/>
        <v>10</v>
      </c>
      <c r="G150" s="84">
        <f t="shared" si="51"/>
        <v>12</v>
      </c>
      <c r="H150" s="84">
        <f t="shared" si="51"/>
        <v>23</v>
      </c>
      <c r="I150" s="84">
        <f t="shared" si="51"/>
        <v>24</v>
      </c>
      <c r="J150" s="84">
        <f t="shared" si="51"/>
        <v>25</v>
      </c>
      <c r="K150" s="47">
        <f t="shared" si="51"/>
        <v>32</v>
      </c>
      <c r="L150" s="83">
        <f t="shared" si="51"/>
        <v>53</v>
      </c>
      <c r="M150" s="47">
        <f t="shared" si="51"/>
        <v>33</v>
      </c>
      <c r="O150" s="20">
        <f t="shared" si="50"/>
        <v>424.08</v>
      </c>
    </row>
    <row r="151">
      <c r="B151" s="2"/>
      <c r="C151" s="2"/>
      <c r="D151" s="2"/>
      <c r="E151" s="2"/>
      <c r="F151" s="2"/>
      <c r="G151" s="2"/>
      <c r="H151" s="2"/>
      <c r="I151" s="2"/>
      <c r="J151" s="2"/>
      <c r="L151" s="2"/>
      <c r="O151" s="17">
        <f t="shared" si="50"/>
        <v>0</v>
      </c>
    </row>
    <row r="152">
      <c r="A152" s="80">
        <v>45926.0</v>
      </c>
      <c r="B152" s="74"/>
      <c r="C152" s="74"/>
      <c r="D152" s="74"/>
      <c r="E152" s="74"/>
      <c r="F152" s="74"/>
      <c r="G152" s="74"/>
      <c r="H152" s="74"/>
      <c r="I152" s="74"/>
      <c r="J152" s="74"/>
      <c r="K152" s="50"/>
      <c r="L152" s="74"/>
      <c r="O152" s="17">
        <f t="shared" si="50"/>
        <v>0</v>
      </c>
    </row>
    <row r="153">
      <c r="A153" s="81" t="s">
        <v>14</v>
      </c>
      <c r="B153" s="81" t="s">
        <v>29</v>
      </c>
      <c r="C153" s="81" t="s">
        <v>30</v>
      </c>
      <c r="D153" s="81" t="s">
        <v>17</v>
      </c>
      <c r="E153" s="81" t="s">
        <v>31</v>
      </c>
      <c r="F153" s="81" t="s">
        <v>19</v>
      </c>
      <c r="G153" s="81" t="s">
        <v>20</v>
      </c>
      <c r="H153" s="81" t="s">
        <v>21</v>
      </c>
      <c r="I153" s="81" t="s">
        <v>22</v>
      </c>
      <c r="J153" s="81" t="s">
        <v>23</v>
      </c>
      <c r="K153" s="44" t="s">
        <v>24</v>
      </c>
      <c r="L153" s="81" t="s">
        <v>25</v>
      </c>
      <c r="M153" s="75" t="s">
        <v>53</v>
      </c>
      <c r="O153" s="17">
        <f>sum(C153:M153)</f>
        <v>0</v>
      </c>
    </row>
    <row r="154">
      <c r="A154" s="82" t="s">
        <v>26</v>
      </c>
      <c r="B154" s="73">
        <v>52.0</v>
      </c>
      <c r="C154" s="73">
        <v>16.19</v>
      </c>
      <c r="D154" s="73">
        <v>50.0</v>
      </c>
      <c r="E154" s="73">
        <v>6.0</v>
      </c>
      <c r="F154" s="73">
        <v>20.0</v>
      </c>
      <c r="G154" s="73">
        <v>6.0</v>
      </c>
      <c r="H154" s="73">
        <v>19.0</v>
      </c>
      <c r="I154" s="73">
        <v>7.0</v>
      </c>
      <c r="J154" s="73">
        <v>18.0</v>
      </c>
      <c r="K154" s="73">
        <v>26.0</v>
      </c>
      <c r="L154" s="73">
        <v>63.0</v>
      </c>
      <c r="M154" s="73">
        <v>31.0</v>
      </c>
      <c r="O154" s="17">
        <f t="shared" ref="O154:O158" si="52">sum(B154:M154)</f>
        <v>314.19</v>
      </c>
    </row>
    <row r="155">
      <c r="A155" s="82" t="s">
        <v>27</v>
      </c>
      <c r="B155" s="73">
        <v>57.0</v>
      </c>
      <c r="C155" s="73">
        <v>5.67</v>
      </c>
      <c r="D155" s="73">
        <v>0.0</v>
      </c>
      <c r="E155" s="73">
        <v>4.0</v>
      </c>
      <c r="F155" s="73">
        <v>8.0</v>
      </c>
      <c r="G155" s="73">
        <v>3.0</v>
      </c>
      <c r="H155" s="73">
        <v>3.0</v>
      </c>
      <c r="I155" s="73">
        <v>5.0</v>
      </c>
      <c r="J155" s="73">
        <v>10.0</v>
      </c>
      <c r="K155" s="73">
        <v>1.0</v>
      </c>
      <c r="L155" s="73">
        <v>0.0</v>
      </c>
      <c r="M155" s="73">
        <v>0.0</v>
      </c>
      <c r="O155" s="76">
        <f t="shared" si="52"/>
        <v>96.67</v>
      </c>
    </row>
    <row r="156">
      <c r="A156" s="83" t="s">
        <v>28</v>
      </c>
      <c r="B156" s="84">
        <f t="shared" ref="B156:M156" si="53">SUM(B154:B155)</f>
        <v>109</v>
      </c>
      <c r="C156" s="84">
        <f t="shared" si="53"/>
        <v>21.86</v>
      </c>
      <c r="D156" s="84">
        <f t="shared" si="53"/>
        <v>50</v>
      </c>
      <c r="E156" s="84">
        <f t="shared" si="53"/>
        <v>10</v>
      </c>
      <c r="F156" s="84">
        <f t="shared" si="53"/>
        <v>28</v>
      </c>
      <c r="G156" s="84">
        <f t="shared" si="53"/>
        <v>9</v>
      </c>
      <c r="H156" s="84">
        <f t="shared" si="53"/>
        <v>22</v>
      </c>
      <c r="I156" s="84">
        <f t="shared" si="53"/>
        <v>12</v>
      </c>
      <c r="J156" s="84">
        <f t="shared" si="53"/>
        <v>28</v>
      </c>
      <c r="K156" s="47">
        <f t="shared" si="53"/>
        <v>27</v>
      </c>
      <c r="L156" s="83">
        <f t="shared" si="53"/>
        <v>63</v>
      </c>
      <c r="M156" s="47">
        <f t="shared" si="53"/>
        <v>31</v>
      </c>
      <c r="O156" s="20">
        <f t="shared" si="52"/>
        <v>410.86</v>
      </c>
    </row>
    <row r="157">
      <c r="B157" s="2"/>
      <c r="C157" s="2"/>
      <c r="D157" s="2"/>
      <c r="E157" s="2"/>
      <c r="F157" s="2"/>
      <c r="G157" s="2"/>
      <c r="H157" s="2"/>
      <c r="I157" s="2"/>
      <c r="J157" s="2"/>
      <c r="L157" s="2"/>
      <c r="O157" s="17">
        <f t="shared" si="52"/>
        <v>0</v>
      </c>
    </row>
    <row r="158">
      <c r="A158" s="80">
        <v>45927.0</v>
      </c>
      <c r="B158" s="74"/>
      <c r="C158" s="74"/>
      <c r="D158" s="74"/>
      <c r="E158" s="74"/>
      <c r="F158" s="74"/>
      <c r="G158" s="74"/>
      <c r="H158" s="74"/>
      <c r="I158" s="74"/>
      <c r="J158" s="74"/>
      <c r="K158" s="50"/>
      <c r="L158" s="74"/>
      <c r="O158" s="17">
        <f t="shared" si="52"/>
        <v>0</v>
      </c>
    </row>
    <row r="159">
      <c r="A159" s="81" t="s">
        <v>14</v>
      </c>
      <c r="B159" s="81" t="s">
        <v>29</v>
      </c>
      <c r="C159" s="81" t="s">
        <v>30</v>
      </c>
      <c r="D159" s="81" t="s">
        <v>17</v>
      </c>
      <c r="E159" s="81" t="s">
        <v>31</v>
      </c>
      <c r="F159" s="81" t="s">
        <v>19</v>
      </c>
      <c r="G159" s="81" t="s">
        <v>20</v>
      </c>
      <c r="H159" s="81" t="s">
        <v>21</v>
      </c>
      <c r="I159" s="81" t="s">
        <v>22</v>
      </c>
      <c r="J159" s="81" t="s">
        <v>23</v>
      </c>
      <c r="K159" s="44" t="s">
        <v>24</v>
      </c>
      <c r="L159" s="81" t="s">
        <v>25</v>
      </c>
      <c r="M159" s="75" t="s">
        <v>53</v>
      </c>
      <c r="O159" s="17">
        <f>sum(C159:M159)</f>
        <v>0</v>
      </c>
    </row>
    <row r="160">
      <c r="A160" s="82" t="s">
        <v>26</v>
      </c>
      <c r="B160" s="73">
        <v>26.0</v>
      </c>
      <c r="C160" s="73">
        <v>17.1</v>
      </c>
      <c r="D160" s="73">
        <v>30.0</v>
      </c>
      <c r="E160" s="73">
        <v>6.0</v>
      </c>
      <c r="F160" s="73">
        <v>3.0</v>
      </c>
      <c r="G160" s="73">
        <v>7.0</v>
      </c>
      <c r="H160" s="73">
        <v>15.0</v>
      </c>
      <c r="I160" s="73">
        <v>10.0</v>
      </c>
      <c r="J160" s="73">
        <v>26.0</v>
      </c>
      <c r="K160" s="73">
        <v>31.0</v>
      </c>
      <c r="L160" s="73">
        <v>51.0</v>
      </c>
      <c r="M160" s="73">
        <v>0.0</v>
      </c>
      <c r="O160" s="17">
        <f t="shared" ref="O160:O164" si="54">sum(B160:M160)</f>
        <v>222.1</v>
      </c>
    </row>
    <row r="161">
      <c r="A161" s="82" t="s">
        <v>27</v>
      </c>
      <c r="B161" s="73">
        <v>30.0</v>
      </c>
      <c r="C161" s="73">
        <v>9.2</v>
      </c>
      <c r="D161" s="73">
        <v>0.0</v>
      </c>
      <c r="E161" s="73">
        <v>4.0</v>
      </c>
      <c r="F161" s="73">
        <v>2.0</v>
      </c>
      <c r="G161" s="73">
        <v>3.0</v>
      </c>
      <c r="H161" s="73">
        <v>4.0</v>
      </c>
      <c r="I161" s="73">
        <v>4.0</v>
      </c>
      <c r="J161" s="73">
        <v>7.0</v>
      </c>
      <c r="K161" s="73">
        <v>0.0</v>
      </c>
      <c r="L161" s="73">
        <v>0.0</v>
      </c>
      <c r="M161" s="73">
        <v>0.0</v>
      </c>
      <c r="O161" s="76">
        <f t="shared" si="54"/>
        <v>63.2</v>
      </c>
    </row>
    <row r="162">
      <c r="A162" s="83" t="s">
        <v>28</v>
      </c>
      <c r="B162" s="84">
        <f t="shared" ref="B162:M162" si="55">SUM(B160:B161)</f>
        <v>56</v>
      </c>
      <c r="C162" s="84">
        <f t="shared" si="55"/>
        <v>26.3</v>
      </c>
      <c r="D162" s="84">
        <f t="shared" si="55"/>
        <v>30</v>
      </c>
      <c r="E162" s="84">
        <f t="shared" si="55"/>
        <v>10</v>
      </c>
      <c r="F162" s="84">
        <f t="shared" si="55"/>
        <v>5</v>
      </c>
      <c r="G162" s="84">
        <f t="shared" si="55"/>
        <v>10</v>
      </c>
      <c r="H162" s="84">
        <f t="shared" si="55"/>
        <v>19</v>
      </c>
      <c r="I162" s="84">
        <f t="shared" si="55"/>
        <v>14</v>
      </c>
      <c r="J162" s="84">
        <f t="shared" si="55"/>
        <v>33</v>
      </c>
      <c r="K162" s="47">
        <f t="shared" si="55"/>
        <v>31</v>
      </c>
      <c r="L162" s="83">
        <f t="shared" si="55"/>
        <v>51</v>
      </c>
      <c r="M162" s="47">
        <f t="shared" si="55"/>
        <v>0</v>
      </c>
      <c r="O162" s="20">
        <f t="shared" si="54"/>
        <v>285.3</v>
      </c>
    </row>
    <row r="163">
      <c r="B163" s="2"/>
      <c r="C163" s="2"/>
      <c r="D163" s="2"/>
      <c r="E163" s="2"/>
      <c r="F163" s="2"/>
      <c r="G163" s="2"/>
      <c r="H163" s="2"/>
      <c r="I163" s="2"/>
      <c r="J163" s="2"/>
      <c r="L163" s="2"/>
      <c r="O163" s="17">
        <f t="shared" si="54"/>
        <v>0</v>
      </c>
    </row>
    <row r="164">
      <c r="A164" s="80">
        <v>45928.0</v>
      </c>
      <c r="B164" s="74"/>
      <c r="C164" s="74"/>
      <c r="D164" s="74"/>
      <c r="E164" s="74"/>
      <c r="F164" s="74"/>
      <c r="G164" s="74"/>
      <c r="H164" s="74"/>
      <c r="I164" s="74"/>
      <c r="J164" s="74"/>
      <c r="K164" s="50"/>
      <c r="L164" s="74"/>
      <c r="O164" s="17">
        <f t="shared" si="54"/>
        <v>0</v>
      </c>
    </row>
    <row r="165">
      <c r="A165" s="81" t="s">
        <v>14</v>
      </c>
      <c r="B165" s="81" t="s">
        <v>29</v>
      </c>
      <c r="C165" s="81" t="s">
        <v>30</v>
      </c>
      <c r="D165" s="81" t="s">
        <v>17</v>
      </c>
      <c r="E165" s="81" t="s">
        <v>31</v>
      </c>
      <c r="F165" s="81" t="s">
        <v>19</v>
      </c>
      <c r="G165" s="81" t="s">
        <v>20</v>
      </c>
      <c r="H165" s="81" t="s">
        <v>21</v>
      </c>
      <c r="I165" s="81" t="s">
        <v>22</v>
      </c>
      <c r="J165" s="81" t="s">
        <v>23</v>
      </c>
      <c r="K165" s="44" t="s">
        <v>24</v>
      </c>
      <c r="L165" s="81" t="s">
        <v>25</v>
      </c>
      <c r="M165" s="75" t="s">
        <v>53</v>
      </c>
      <c r="O165" s="17">
        <f>sum(C165:M165)</f>
        <v>0</v>
      </c>
    </row>
    <row r="166">
      <c r="A166" s="82" t="s">
        <v>26</v>
      </c>
      <c r="B166" s="73">
        <v>39.0</v>
      </c>
      <c r="C166" s="73">
        <v>20.23</v>
      </c>
      <c r="D166" s="73">
        <v>45.0</v>
      </c>
      <c r="E166" s="73">
        <v>9.0</v>
      </c>
      <c r="F166" s="73">
        <v>5.0</v>
      </c>
      <c r="G166" s="73">
        <v>3.0</v>
      </c>
      <c r="H166" s="73">
        <v>14.0</v>
      </c>
      <c r="I166" s="73">
        <v>11.0</v>
      </c>
      <c r="J166" s="73">
        <v>18.0</v>
      </c>
      <c r="K166" s="73">
        <v>25.0</v>
      </c>
      <c r="L166" s="55"/>
      <c r="M166" s="73">
        <v>20.0</v>
      </c>
      <c r="O166" s="17">
        <f t="shared" ref="O166:O170" si="56">sum(B166:M166)</f>
        <v>209.23</v>
      </c>
    </row>
    <row r="167">
      <c r="A167" s="82" t="s">
        <v>27</v>
      </c>
      <c r="B167" s="73">
        <v>18.0</v>
      </c>
      <c r="C167" s="73">
        <v>12.1</v>
      </c>
      <c r="D167" s="73">
        <v>0.0</v>
      </c>
      <c r="E167" s="73">
        <v>5.0</v>
      </c>
      <c r="F167" s="73">
        <v>4.0</v>
      </c>
      <c r="G167" s="73">
        <v>4.0</v>
      </c>
      <c r="H167" s="73">
        <v>3.0</v>
      </c>
      <c r="I167" s="73">
        <v>8.0</v>
      </c>
      <c r="J167" s="73">
        <v>11.0</v>
      </c>
      <c r="K167" s="73">
        <v>0.0</v>
      </c>
      <c r="L167" s="55"/>
      <c r="M167" s="73">
        <v>0.0</v>
      </c>
      <c r="O167" s="76">
        <f t="shared" si="56"/>
        <v>65.1</v>
      </c>
    </row>
    <row r="168">
      <c r="A168" s="83" t="s">
        <v>28</v>
      </c>
      <c r="B168" s="84">
        <f t="shared" ref="B168:M168" si="57">SUM(B166:B167)</f>
        <v>57</v>
      </c>
      <c r="C168" s="84">
        <f t="shared" si="57"/>
        <v>32.33</v>
      </c>
      <c r="D168" s="84">
        <f t="shared" si="57"/>
        <v>45</v>
      </c>
      <c r="E168" s="84">
        <f t="shared" si="57"/>
        <v>14</v>
      </c>
      <c r="F168" s="84">
        <f t="shared" si="57"/>
        <v>9</v>
      </c>
      <c r="G168" s="84">
        <f t="shared" si="57"/>
        <v>7</v>
      </c>
      <c r="H168" s="84">
        <f t="shared" si="57"/>
        <v>17</v>
      </c>
      <c r="I168" s="84">
        <f t="shared" si="57"/>
        <v>19</v>
      </c>
      <c r="J168" s="84">
        <f t="shared" si="57"/>
        <v>29</v>
      </c>
      <c r="K168" s="47">
        <f t="shared" si="57"/>
        <v>25</v>
      </c>
      <c r="L168" s="83">
        <f t="shared" si="57"/>
        <v>0</v>
      </c>
      <c r="M168" s="47">
        <f t="shared" si="57"/>
        <v>20</v>
      </c>
      <c r="O168" s="20">
        <f t="shared" si="56"/>
        <v>274.33</v>
      </c>
    </row>
    <row r="169">
      <c r="B169" s="2"/>
      <c r="C169" s="2"/>
      <c r="D169" s="2"/>
      <c r="E169" s="2"/>
      <c r="F169" s="2"/>
      <c r="G169" s="2"/>
      <c r="H169" s="2"/>
      <c r="I169" s="2"/>
      <c r="J169" s="2"/>
      <c r="L169" s="2"/>
      <c r="O169" s="17">
        <f t="shared" si="56"/>
        <v>0</v>
      </c>
    </row>
    <row r="170">
      <c r="A170" s="80">
        <v>45929.0</v>
      </c>
      <c r="B170" s="74"/>
      <c r="C170" s="74"/>
      <c r="D170" s="74"/>
      <c r="E170" s="74"/>
      <c r="F170" s="74"/>
      <c r="G170" s="74"/>
      <c r="H170" s="74"/>
      <c r="I170" s="74"/>
      <c r="J170" s="74"/>
      <c r="K170" s="50"/>
      <c r="L170" s="74"/>
      <c r="O170" s="17">
        <f t="shared" si="56"/>
        <v>0</v>
      </c>
    </row>
    <row r="171">
      <c r="A171" s="81" t="s">
        <v>14</v>
      </c>
      <c r="B171" s="81" t="s">
        <v>29</v>
      </c>
      <c r="C171" s="81" t="s">
        <v>30</v>
      </c>
      <c r="D171" s="81" t="s">
        <v>17</v>
      </c>
      <c r="E171" s="81" t="s">
        <v>31</v>
      </c>
      <c r="F171" s="81" t="s">
        <v>19</v>
      </c>
      <c r="G171" s="81" t="s">
        <v>20</v>
      </c>
      <c r="H171" s="81" t="s">
        <v>21</v>
      </c>
      <c r="I171" s="81" t="s">
        <v>22</v>
      </c>
      <c r="J171" s="81" t="s">
        <v>23</v>
      </c>
      <c r="K171" s="44" t="s">
        <v>24</v>
      </c>
      <c r="L171" s="81" t="s">
        <v>25</v>
      </c>
      <c r="M171" s="75" t="s">
        <v>53</v>
      </c>
      <c r="O171" s="17">
        <f>sum(C171:M171)</f>
        <v>0</v>
      </c>
    </row>
    <row r="172">
      <c r="A172" s="82" t="s">
        <v>26</v>
      </c>
      <c r="B172" s="73">
        <v>54.0</v>
      </c>
      <c r="C172" s="73">
        <v>14.85</v>
      </c>
      <c r="D172" s="73">
        <v>35.0</v>
      </c>
      <c r="E172" s="73">
        <v>8.0</v>
      </c>
      <c r="F172" s="73">
        <v>9.0</v>
      </c>
      <c r="G172" s="73">
        <v>3.0</v>
      </c>
      <c r="H172" s="73">
        <v>14.0</v>
      </c>
      <c r="I172" s="73">
        <v>13.0</v>
      </c>
      <c r="J172" s="73">
        <v>20.0</v>
      </c>
      <c r="K172" s="73">
        <v>30.0</v>
      </c>
      <c r="L172" s="73">
        <v>58.0</v>
      </c>
      <c r="M172" s="73">
        <v>22.0</v>
      </c>
      <c r="O172" s="17">
        <f t="shared" ref="O172:O176" si="58">sum(B172:M172)</f>
        <v>280.85</v>
      </c>
    </row>
    <row r="173">
      <c r="A173" s="82" t="s">
        <v>27</v>
      </c>
      <c r="B173" s="73">
        <v>38.0</v>
      </c>
      <c r="C173" s="73">
        <v>5.25</v>
      </c>
      <c r="D173" s="73">
        <v>0.0</v>
      </c>
      <c r="E173" s="73">
        <v>5.0</v>
      </c>
      <c r="F173" s="73">
        <v>8.0</v>
      </c>
      <c r="G173" s="73">
        <v>5.0</v>
      </c>
      <c r="H173" s="73">
        <v>2.0</v>
      </c>
      <c r="I173" s="73">
        <v>10.0</v>
      </c>
      <c r="J173" s="73">
        <v>12.0</v>
      </c>
      <c r="K173" s="73">
        <v>3.0</v>
      </c>
      <c r="L173" s="73">
        <v>0.0</v>
      </c>
      <c r="M173" s="73">
        <v>0.0</v>
      </c>
      <c r="O173" s="76">
        <f t="shared" si="58"/>
        <v>88.25</v>
      </c>
    </row>
    <row r="174">
      <c r="A174" s="83" t="s">
        <v>28</v>
      </c>
      <c r="B174" s="84">
        <f t="shared" ref="B174:M174" si="59">SUM(B172:B173)</f>
        <v>92</v>
      </c>
      <c r="C174" s="84">
        <f t="shared" si="59"/>
        <v>20.1</v>
      </c>
      <c r="D174" s="84">
        <f t="shared" si="59"/>
        <v>35</v>
      </c>
      <c r="E174" s="84">
        <f t="shared" si="59"/>
        <v>13</v>
      </c>
      <c r="F174" s="84">
        <f t="shared" si="59"/>
        <v>17</v>
      </c>
      <c r="G174" s="84">
        <f t="shared" si="59"/>
        <v>8</v>
      </c>
      <c r="H174" s="84">
        <f t="shared" si="59"/>
        <v>16</v>
      </c>
      <c r="I174" s="84">
        <f t="shared" si="59"/>
        <v>23</v>
      </c>
      <c r="J174" s="84">
        <f t="shared" si="59"/>
        <v>32</v>
      </c>
      <c r="K174" s="47">
        <f t="shared" si="59"/>
        <v>33</v>
      </c>
      <c r="L174" s="83">
        <f t="shared" si="59"/>
        <v>58</v>
      </c>
      <c r="M174" s="47">
        <f t="shared" si="59"/>
        <v>22</v>
      </c>
      <c r="O174" s="20">
        <f t="shared" si="58"/>
        <v>369.1</v>
      </c>
    </row>
    <row r="175">
      <c r="B175" s="2"/>
      <c r="C175" s="2"/>
      <c r="D175" s="2"/>
      <c r="E175" s="2"/>
      <c r="F175" s="2"/>
      <c r="G175" s="2"/>
      <c r="H175" s="2"/>
      <c r="I175" s="2"/>
      <c r="J175" s="2"/>
      <c r="L175" s="2"/>
      <c r="O175" s="17">
        <f t="shared" si="58"/>
        <v>0</v>
      </c>
    </row>
    <row r="176">
      <c r="A176" s="80">
        <v>45930.0</v>
      </c>
      <c r="B176" s="74"/>
      <c r="C176" s="74"/>
      <c r="D176" s="74"/>
      <c r="E176" s="74"/>
      <c r="F176" s="74"/>
      <c r="G176" s="74"/>
      <c r="H176" s="74"/>
      <c r="I176" s="74"/>
      <c r="J176" s="74"/>
      <c r="K176" s="50"/>
      <c r="L176" s="74"/>
      <c r="O176" s="17">
        <f t="shared" si="58"/>
        <v>0</v>
      </c>
    </row>
    <row r="177">
      <c r="A177" s="81" t="s">
        <v>14</v>
      </c>
      <c r="B177" s="81" t="s">
        <v>29</v>
      </c>
      <c r="C177" s="81" t="s">
        <v>30</v>
      </c>
      <c r="D177" s="81" t="s">
        <v>17</v>
      </c>
      <c r="E177" s="81" t="s">
        <v>31</v>
      </c>
      <c r="F177" s="81" t="s">
        <v>19</v>
      </c>
      <c r="G177" s="81" t="s">
        <v>20</v>
      </c>
      <c r="H177" s="81" t="s">
        <v>21</v>
      </c>
      <c r="I177" s="81" t="s">
        <v>22</v>
      </c>
      <c r="J177" s="81" t="s">
        <v>23</v>
      </c>
      <c r="K177" s="44" t="s">
        <v>24</v>
      </c>
      <c r="L177" s="81" t="s">
        <v>25</v>
      </c>
      <c r="M177" s="75" t="s">
        <v>53</v>
      </c>
      <c r="O177" s="17">
        <f>sum(C177:M177)</f>
        <v>0</v>
      </c>
    </row>
    <row r="178">
      <c r="A178" s="82" t="s">
        <v>26</v>
      </c>
      <c r="B178" s="55">
        <f>37+64</f>
        <v>101</v>
      </c>
      <c r="C178" s="73">
        <v>16.67</v>
      </c>
      <c r="D178" s="73">
        <v>25.0</v>
      </c>
      <c r="E178" s="73">
        <v>6.0</v>
      </c>
      <c r="F178" s="73">
        <v>19.0</v>
      </c>
      <c r="G178" s="73">
        <v>18.0</v>
      </c>
      <c r="H178" s="73">
        <v>18.0</v>
      </c>
      <c r="I178" s="73">
        <v>8.0</v>
      </c>
      <c r="J178" s="73">
        <v>19.0</v>
      </c>
      <c r="K178" s="73">
        <v>29.0</v>
      </c>
      <c r="L178" s="73">
        <v>58.0</v>
      </c>
      <c r="M178" s="73">
        <v>27.0</v>
      </c>
      <c r="O178" s="17">
        <f t="shared" ref="O178:O180" si="60">sum(B178:M178)</f>
        <v>344.67</v>
      </c>
    </row>
    <row r="179">
      <c r="A179" s="82" t="s">
        <v>27</v>
      </c>
      <c r="B179" s="55">
        <f>21+26</f>
        <v>47</v>
      </c>
      <c r="C179" s="73">
        <v>9.11</v>
      </c>
      <c r="D179" s="73">
        <v>0.0</v>
      </c>
      <c r="E179" s="73">
        <v>4.0</v>
      </c>
      <c r="F179" s="73">
        <v>14.0</v>
      </c>
      <c r="G179" s="73">
        <v>8.0</v>
      </c>
      <c r="H179" s="73">
        <v>3.0</v>
      </c>
      <c r="I179" s="73">
        <v>6.0</v>
      </c>
      <c r="J179" s="73">
        <v>7.0</v>
      </c>
      <c r="K179" s="73">
        <v>3.0</v>
      </c>
      <c r="L179" s="73">
        <v>0.0</v>
      </c>
      <c r="M179" s="73">
        <v>0.0</v>
      </c>
      <c r="O179" s="76">
        <f t="shared" si="60"/>
        <v>101.11</v>
      </c>
    </row>
    <row r="180">
      <c r="A180" s="83" t="s">
        <v>28</v>
      </c>
      <c r="B180" s="84">
        <f t="shared" ref="B180:M180" si="61">SUM(B178:B179)</f>
        <v>148</v>
      </c>
      <c r="C180" s="84">
        <f t="shared" si="61"/>
        <v>25.78</v>
      </c>
      <c r="D180" s="84">
        <f t="shared" si="61"/>
        <v>25</v>
      </c>
      <c r="E180" s="84">
        <f t="shared" si="61"/>
        <v>10</v>
      </c>
      <c r="F180" s="84">
        <f t="shared" si="61"/>
        <v>33</v>
      </c>
      <c r="G180" s="84">
        <f t="shared" si="61"/>
        <v>26</v>
      </c>
      <c r="H180" s="84">
        <f t="shared" si="61"/>
        <v>21</v>
      </c>
      <c r="I180" s="84">
        <f t="shared" si="61"/>
        <v>14</v>
      </c>
      <c r="J180" s="84">
        <f t="shared" si="61"/>
        <v>26</v>
      </c>
      <c r="K180" s="47">
        <f t="shared" si="61"/>
        <v>32</v>
      </c>
      <c r="L180" s="83">
        <f t="shared" si="61"/>
        <v>58</v>
      </c>
      <c r="M180" s="47">
        <f t="shared" si="61"/>
        <v>27</v>
      </c>
      <c r="O180" s="20">
        <f t="shared" si="60"/>
        <v>445.78</v>
      </c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N181" s="38" t="s">
        <v>32</v>
      </c>
      <c r="O181" s="62">
        <f t="shared" ref="O181:O182" si="62">sum(O4+O10+O16+O22+O28+O34+O40+O46+O52+O58+O64+O70+O76+O82+O88+O94+O100+O106+O112+O118+O124+O130+O136+O142+O148+O154+O160+O166+O172+O178)</f>
        <v>8991.31</v>
      </c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N182" s="39" t="s">
        <v>33</v>
      </c>
      <c r="O182" s="40">
        <f t="shared" si="62"/>
        <v>3314.278</v>
      </c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7">
        <v>45931.0</v>
      </c>
      <c r="B1" s="29"/>
      <c r="C1" s="29"/>
      <c r="D1" s="29"/>
      <c r="E1" s="29"/>
      <c r="F1" s="29"/>
      <c r="G1" s="29"/>
      <c r="H1" s="29"/>
      <c r="I1" s="29"/>
      <c r="J1" s="29"/>
      <c r="K1" s="74"/>
      <c r="L1" s="74"/>
    </row>
    <row r="2">
      <c r="A2" s="30" t="s">
        <v>14</v>
      </c>
      <c r="B2" s="30" t="s">
        <v>29</v>
      </c>
      <c r="C2" s="30" t="s">
        <v>30</v>
      </c>
      <c r="D2" s="30" t="s">
        <v>17</v>
      </c>
      <c r="E2" s="30" t="s">
        <v>31</v>
      </c>
      <c r="F2" s="30" t="s">
        <v>19</v>
      </c>
      <c r="G2" s="30" t="s">
        <v>20</v>
      </c>
      <c r="H2" s="30" t="s">
        <v>21</v>
      </c>
      <c r="I2" s="30" t="s">
        <v>22</v>
      </c>
      <c r="J2" s="30" t="s">
        <v>23</v>
      </c>
      <c r="K2" s="43" t="s">
        <v>24</v>
      </c>
      <c r="L2" s="44" t="s">
        <v>25</v>
      </c>
      <c r="M2" s="75" t="s">
        <v>53</v>
      </c>
      <c r="O2" s="17">
        <f>sum(C2:M2)</f>
        <v>0</v>
      </c>
    </row>
    <row r="3">
      <c r="A3" s="31" t="s">
        <v>26</v>
      </c>
      <c r="B3" s="33">
        <f>32+36</f>
        <v>68</v>
      </c>
      <c r="C3" s="33">
        <v>36.0</v>
      </c>
      <c r="D3" s="33">
        <v>10.0</v>
      </c>
      <c r="E3" s="33">
        <v>8.0</v>
      </c>
      <c r="F3" s="33">
        <v>6.0</v>
      </c>
      <c r="G3" s="33">
        <v>5.0</v>
      </c>
      <c r="H3" s="33">
        <v>12.0</v>
      </c>
      <c r="I3" s="33">
        <v>12.0</v>
      </c>
      <c r="J3" s="33">
        <v>25.0</v>
      </c>
      <c r="K3" s="73">
        <v>10.0</v>
      </c>
      <c r="L3" s="73">
        <v>0.0</v>
      </c>
      <c r="M3" s="73">
        <v>22.0</v>
      </c>
      <c r="O3" s="17">
        <f t="shared" ref="O3:O7" si="1">sum(B3:M3)</f>
        <v>214</v>
      </c>
    </row>
    <row r="4">
      <c r="A4" s="31" t="s">
        <v>27</v>
      </c>
      <c r="B4" s="33">
        <f>28+22</f>
        <v>50</v>
      </c>
      <c r="C4" s="33">
        <v>28.0</v>
      </c>
      <c r="D4" s="33">
        <v>0.0</v>
      </c>
      <c r="E4" s="33">
        <v>4.0</v>
      </c>
      <c r="F4" s="33">
        <v>8.0</v>
      </c>
      <c r="G4" s="33">
        <v>3.0</v>
      </c>
      <c r="H4" s="33">
        <v>4.0</v>
      </c>
      <c r="I4" s="33">
        <v>10.0</v>
      </c>
      <c r="J4" s="33">
        <v>10.0</v>
      </c>
      <c r="K4" s="73">
        <v>2.0</v>
      </c>
      <c r="L4" s="73">
        <v>0.0</v>
      </c>
      <c r="M4" s="73">
        <v>0.0</v>
      </c>
      <c r="O4" s="76">
        <f t="shared" si="1"/>
        <v>119</v>
      </c>
    </row>
    <row r="5">
      <c r="A5" s="34" t="s">
        <v>28</v>
      </c>
      <c r="B5" s="46">
        <f t="shared" ref="B5:M5" si="2">SUM(B3:B4)</f>
        <v>118</v>
      </c>
      <c r="C5" s="46">
        <f t="shared" si="2"/>
        <v>64</v>
      </c>
      <c r="D5" s="46">
        <f t="shared" si="2"/>
        <v>10</v>
      </c>
      <c r="E5" s="46">
        <f t="shared" si="2"/>
        <v>12</v>
      </c>
      <c r="F5" s="46">
        <f t="shared" si="2"/>
        <v>14</v>
      </c>
      <c r="G5" s="46">
        <f t="shared" si="2"/>
        <v>8</v>
      </c>
      <c r="H5" s="46">
        <f t="shared" si="2"/>
        <v>16</v>
      </c>
      <c r="I5" s="46">
        <f t="shared" si="2"/>
        <v>22</v>
      </c>
      <c r="J5" s="46">
        <f t="shared" si="2"/>
        <v>35</v>
      </c>
      <c r="K5" s="47">
        <f t="shared" si="2"/>
        <v>12</v>
      </c>
      <c r="L5" s="47">
        <f t="shared" si="2"/>
        <v>0</v>
      </c>
      <c r="M5" s="47">
        <f t="shared" si="2"/>
        <v>22</v>
      </c>
      <c r="O5" s="20">
        <f t="shared" si="1"/>
        <v>333</v>
      </c>
    </row>
    <row r="6">
      <c r="O6" s="17">
        <f t="shared" si="1"/>
        <v>0</v>
      </c>
    </row>
    <row r="7">
      <c r="A7" s="37">
        <v>45932.0</v>
      </c>
      <c r="B7" s="29"/>
      <c r="C7" s="29"/>
      <c r="D7" s="29"/>
      <c r="E7" s="29"/>
      <c r="F7" s="29"/>
      <c r="G7" s="29"/>
      <c r="H7" s="29"/>
      <c r="I7" s="29"/>
      <c r="J7" s="29"/>
      <c r="K7" s="74"/>
      <c r="L7" s="74"/>
      <c r="O7" s="17">
        <f t="shared" si="1"/>
        <v>0</v>
      </c>
    </row>
    <row r="8">
      <c r="A8" s="30" t="s">
        <v>14</v>
      </c>
      <c r="B8" s="30" t="s">
        <v>29</v>
      </c>
      <c r="C8" s="30" t="s">
        <v>30</v>
      </c>
      <c r="D8" s="30" t="s">
        <v>17</v>
      </c>
      <c r="E8" s="30" t="s">
        <v>31</v>
      </c>
      <c r="F8" s="30" t="s">
        <v>19</v>
      </c>
      <c r="G8" s="30" t="s">
        <v>20</v>
      </c>
      <c r="H8" s="30" t="s">
        <v>21</v>
      </c>
      <c r="I8" s="30" t="s">
        <v>22</v>
      </c>
      <c r="J8" s="30" t="s">
        <v>23</v>
      </c>
      <c r="K8" s="43" t="s">
        <v>24</v>
      </c>
      <c r="L8" s="44" t="s">
        <v>25</v>
      </c>
      <c r="M8" s="75" t="s">
        <v>53</v>
      </c>
      <c r="O8" s="17">
        <f>sum(C8:M8)</f>
        <v>0</v>
      </c>
    </row>
    <row r="9">
      <c r="A9" s="31" t="s">
        <v>26</v>
      </c>
      <c r="B9" s="33"/>
      <c r="C9" s="33">
        <v>0.0</v>
      </c>
      <c r="D9" s="33">
        <v>25.0</v>
      </c>
      <c r="E9" s="33">
        <v>10.0</v>
      </c>
      <c r="F9" s="33">
        <v>5.0</v>
      </c>
      <c r="G9" s="33">
        <v>3.0</v>
      </c>
      <c r="H9" s="33">
        <v>10.0</v>
      </c>
      <c r="I9" s="33">
        <v>6.0</v>
      </c>
      <c r="J9" s="33">
        <v>20.0</v>
      </c>
      <c r="K9" s="73">
        <v>6.0</v>
      </c>
      <c r="L9" s="73">
        <v>18.0</v>
      </c>
      <c r="M9" s="73">
        <v>0.0</v>
      </c>
      <c r="O9" s="17">
        <f t="shared" ref="O9:O13" si="3">sum(B9:M9)</f>
        <v>103</v>
      </c>
    </row>
    <row r="10">
      <c r="A10" s="31" t="s">
        <v>27</v>
      </c>
      <c r="B10" s="33"/>
      <c r="C10" s="33">
        <v>0.0</v>
      </c>
      <c r="D10" s="33">
        <v>0.0</v>
      </c>
      <c r="E10" s="33">
        <v>5.0</v>
      </c>
      <c r="F10" s="33">
        <v>3.0</v>
      </c>
      <c r="G10" s="33">
        <v>4.0</v>
      </c>
      <c r="H10" s="33">
        <v>5.0</v>
      </c>
      <c r="I10" s="33">
        <v>4.0</v>
      </c>
      <c r="J10" s="33">
        <v>5.0</v>
      </c>
      <c r="K10" s="73">
        <v>2.0</v>
      </c>
      <c r="L10" s="73">
        <v>0.0</v>
      </c>
      <c r="M10" s="73">
        <v>0.0</v>
      </c>
      <c r="O10" s="76">
        <f t="shared" si="3"/>
        <v>28</v>
      </c>
    </row>
    <row r="11">
      <c r="A11" s="34" t="s">
        <v>28</v>
      </c>
      <c r="B11" s="46">
        <f t="shared" ref="B11:M11" si="4">SUM(B9:B10)</f>
        <v>0</v>
      </c>
      <c r="C11" s="46">
        <f t="shared" si="4"/>
        <v>0</v>
      </c>
      <c r="D11" s="46">
        <f t="shared" si="4"/>
        <v>25</v>
      </c>
      <c r="E11" s="46">
        <f t="shared" si="4"/>
        <v>15</v>
      </c>
      <c r="F11" s="46">
        <f t="shared" si="4"/>
        <v>8</v>
      </c>
      <c r="G11" s="46">
        <f t="shared" si="4"/>
        <v>7</v>
      </c>
      <c r="H11" s="46">
        <f t="shared" si="4"/>
        <v>15</v>
      </c>
      <c r="I11" s="46">
        <f t="shared" si="4"/>
        <v>10</v>
      </c>
      <c r="J11" s="46">
        <f t="shared" si="4"/>
        <v>25</v>
      </c>
      <c r="K11" s="47">
        <f t="shared" si="4"/>
        <v>8</v>
      </c>
      <c r="L11" s="47">
        <f t="shared" si="4"/>
        <v>18</v>
      </c>
      <c r="M11" s="47">
        <f t="shared" si="4"/>
        <v>0</v>
      </c>
      <c r="O11" s="20">
        <f t="shared" si="3"/>
        <v>131</v>
      </c>
    </row>
    <row r="12">
      <c r="O12" s="17">
        <f t="shared" si="3"/>
        <v>0</v>
      </c>
    </row>
    <row r="13">
      <c r="A13" s="37">
        <v>45933.0</v>
      </c>
      <c r="B13" s="29"/>
      <c r="C13" s="29"/>
      <c r="D13" s="29"/>
      <c r="E13" s="29"/>
      <c r="F13" s="29"/>
      <c r="G13" s="29"/>
      <c r="H13" s="29"/>
      <c r="I13" s="29"/>
      <c r="J13" s="29"/>
      <c r="K13" s="74"/>
      <c r="L13" s="74"/>
      <c r="O13" s="17">
        <f t="shared" si="3"/>
        <v>0</v>
      </c>
    </row>
    <row r="14">
      <c r="A14" s="30" t="s">
        <v>14</v>
      </c>
      <c r="B14" s="30" t="s">
        <v>29</v>
      </c>
      <c r="C14" s="30" t="s">
        <v>30</v>
      </c>
      <c r="D14" s="30" t="s">
        <v>17</v>
      </c>
      <c r="E14" s="30" t="s">
        <v>31</v>
      </c>
      <c r="F14" s="30" t="s">
        <v>19</v>
      </c>
      <c r="G14" s="30" t="s">
        <v>20</v>
      </c>
      <c r="H14" s="30" t="s">
        <v>21</v>
      </c>
      <c r="I14" s="30" t="s">
        <v>22</v>
      </c>
      <c r="J14" s="30" t="s">
        <v>23</v>
      </c>
      <c r="K14" s="43" t="s">
        <v>24</v>
      </c>
      <c r="L14" s="44" t="s">
        <v>25</v>
      </c>
      <c r="M14" s="75" t="s">
        <v>53</v>
      </c>
      <c r="O14" s="17">
        <f>sum(C14:M14)</f>
        <v>0</v>
      </c>
    </row>
    <row r="15">
      <c r="A15" s="31" t="s">
        <v>26</v>
      </c>
      <c r="B15" s="33">
        <f>16+43</f>
        <v>59</v>
      </c>
      <c r="C15" s="33">
        <v>12.39</v>
      </c>
      <c r="D15" s="33">
        <v>25.0</v>
      </c>
      <c r="E15" s="33">
        <v>12.0</v>
      </c>
      <c r="F15" s="33">
        <v>10.0</v>
      </c>
      <c r="G15" s="33">
        <v>5.0</v>
      </c>
      <c r="H15" s="33">
        <v>12.0</v>
      </c>
      <c r="I15" s="33">
        <v>7.0</v>
      </c>
      <c r="J15" s="33">
        <v>32.0</v>
      </c>
      <c r="K15" s="73">
        <v>6.0</v>
      </c>
      <c r="L15" s="73">
        <v>48.0</v>
      </c>
      <c r="M15" s="73">
        <v>32.0</v>
      </c>
      <c r="O15" s="17">
        <f t="shared" ref="O15:O19" si="5">sum(B15:M15)</f>
        <v>260.39</v>
      </c>
    </row>
    <row r="16">
      <c r="A16" s="31" t="s">
        <v>27</v>
      </c>
      <c r="B16" s="33">
        <f>32+21</f>
        <v>53</v>
      </c>
      <c r="C16" s="33">
        <v>4.71</v>
      </c>
      <c r="D16" s="33">
        <v>0.0</v>
      </c>
      <c r="E16" s="33">
        <v>11.0</v>
      </c>
      <c r="F16" s="33">
        <v>8.0</v>
      </c>
      <c r="G16" s="33">
        <v>4.0</v>
      </c>
      <c r="H16" s="33">
        <v>7.0</v>
      </c>
      <c r="I16" s="33">
        <v>5.0</v>
      </c>
      <c r="J16" s="33">
        <v>6.0</v>
      </c>
      <c r="K16" s="73">
        <v>2.0</v>
      </c>
      <c r="L16" s="73">
        <v>0.0</v>
      </c>
      <c r="M16" s="73">
        <v>0.0</v>
      </c>
      <c r="O16" s="76">
        <f t="shared" si="5"/>
        <v>100.71</v>
      </c>
    </row>
    <row r="17">
      <c r="A17" s="34" t="s">
        <v>28</v>
      </c>
      <c r="B17" s="46">
        <f t="shared" ref="B17:M17" si="6">SUM(B15:B16)</f>
        <v>112</v>
      </c>
      <c r="C17" s="46">
        <f t="shared" si="6"/>
        <v>17.1</v>
      </c>
      <c r="D17" s="46">
        <f t="shared" si="6"/>
        <v>25</v>
      </c>
      <c r="E17" s="46">
        <f t="shared" si="6"/>
        <v>23</v>
      </c>
      <c r="F17" s="46">
        <f t="shared" si="6"/>
        <v>18</v>
      </c>
      <c r="G17" s="46">
        <f t="shared" si="6"/>
        <v>9</v>
      </c>
      <c r="H17" s="46">
        <f t="shared" si="6"/>
        <v>19</v>
      </c>
      <c r="I17" s="46">
        <f t="shared" si="6"/>
        <v>12</v>
      </c>
      <c r="J17" s="46">
        <f t="shared" si="6"/>
        <v>38</v>
      </c>
      <c r="K17" s="47">
        <f t="shared" si="6"/>
        <v>8</v>
      </c>
      <c r="L17" s="47">
        <f t="shared" si="6"/>
        <v>48</v>
      </c>
      <c r="M17" s="47">
        <f t="shared" si="6"/>
        <v>32</v>
      </c>
      <c r="O17" s="20">
        <f t="shared" si="5"/>
        <v>361.1</v>
      </c>
    </row>
    <row r="18">
      <c r="O18" s="17">
        <f t="shared" si="5"/>
        <v>0</v>
      </c>
    </row>
    <row r="19">
      <c r="A19" s="37">
        <v>45934.0</v>
      </c>
      <c r="B19" s="29"/>
      <c r="C19" s="29"/>
      <c r="D19" s="29"/>
      <c r="E19" s="29"/>
      <c r="F19" s="29"/>
      <c r="G19" s="29"/>
      <c r="H19" s="29"/>
      <c r="I19" s="29"/>
      <c r="J19" s="29"/>
      <c r="K19" s="74"/>
      <c r="L19" s="74"/>
      <c r="O19" s="17">
        <f t="shared" si="5"/>
        <v>0</v>
      </c>
    </row>
    <row r="20">
      <c r="A20" s="30" t="s">
        <v>14</v>
      </c>
      <c r="B20" s="30" t="s">
        <v>29</v>
      </c>
      <c r="C20" s="30" t="s">
        <v>30</v>
      </c>
      <c r="D20" s="30" t="s">
        <v>17</v>
      </c>
      <c r="E20" s="30" t="s">
        <v>31</v>
      </c>
      <c r="F20" s="30" t="s">
        <v>19</v>
      </c>
      <c r="G20" s="30" t="s">
        <v>20</v>
      </c>
      <c r="H20" s="30" t="s">
        <v>21</v>
      </c>
      <c r="I20" s="30" t="s">
        <v>22</v>
      </c>
      <c r="J20" s="30" t="s">
        <v>23</v>
      </c>
      <c r="K20" s="43" t="s">
        <v>24</v>
      </c>
      <c r="L20" s="44" t="s">
        <v>25</v>
      </c>
      <c r="M20" s="75" t="s">
        <v>53</v>
      </c>
      <c r="O20" s="17">
        <f>sum(C20:M20)</f>
        <v>0</v>
      </c>
    </row>
    <row r="21">
      <c r="A21" s="31" t="s">
        <v>26</v>
      </c>
      <c r="B21" s="33">
        <v>42.0</v>
      </c>
      <c r="C21" s="33">
        <v>0.0</v>
      </c>
      <c r="D21" s="33">
        <v>30.0</v>
      </c>
      <c r="E21" s="33">
        <v>8.0</v>
      </c>
      <c r="F21" s="33">
        <v>12.0</v>
      </c>
      <c r="G21" s="33">
        <v>2.0</v>
      </c>
      <c r="H21" s="33">
        <v>10.0</v>
      </c>
      <c r="I21" s="33">
        <v>8.0</v>
      </c>
      <c r="J21" s="33">
        <v>37.0</v>
      </c>
      <c r="K21" s="73">
        <v>7.0</v>
      </c>
      <c r="L21" s="73">
        <v>50.0</v>
      </c>
      <c r="M21" s="73">
        <v>0.0</v>
      </c>
      <c r="O21" s="17">
        <f t="shared" ref="O21:O25" si="7">sum(B21:M21)</f>
        <v>206</v>
      </c>
    </row>
    <row r="22">
      <c r="A22" s="31" t="s">
        <v>27</v>
      </c>
      <c r="B22" s="33">
        <v>26.0</v>
      </c>
      <c r="C22" s="33">
        <v>0.0</v>
      </c>
      <c r="D22" s="33">
        <v>0.0</v>
      </c>
      <c r="E22" s="33">
        <v>5.0</v>
      </c>
      <c r="F22" s="33">
        <v>10.0</v>
      </c>
      <c r="G22" s="33">
        <v>7.0</v>
      </c>
      <c r="H22" s="33">
        <v>8.0</v>
      </c>
      <c r="I22" s="33">
        <v>6.0</v>
      </c>
      <c r="J22" s="33">
        <v>9.0</v>
      </c>
      <c r="K22" s="73">
        <v>3.0</v>
      </c>
      <c r="L22" s="73">
        <v>0.0</v>
      </c>
      <c r="M22" s="73">
        <v>0.0</v>
      </c>
      <c r="O22" s="76">
        <f t="shared" si="7"/>
        <v>74</v>
      </c>
    </row>
    <row r="23">
      <c r="A23" s="34" t="s">
        <v>28</v>
      </c>
      <c r="B23" s="46">
        <f t="shared" ref="B23:M23" si="8">SUM(B21:B22)</f>
        <v>68</v>
      </c>
      <c r="C23" s="46">
        <f t="shared" si="8"/>
        <v>0</v>
      </c>
      <c r="D23" s="46">
        <f t="shared" si="8"/>
        <v>30</v>
      </c>
      <c r="E23" s="46">
        <f t="shared" si="8"/>
        <v>13</v>
      </c>
      <c r="F23" s="46">
        <f t="shared" si="8"/>
        <v>22</v>
      </c>
      <c r="G23" s="46">
        <f t="shared" si="8"/>
        <v>9</v>
      </c>
      <c r="H23" s="46">
        <f t="shared" si="8"/>
        <v>18</v>
      </c>
      <c r="I23" s="46">
        <f t="shared" si="8"/>
        <v>14</v>
      </c>
      <c r="J23" s="46">
        <f t="shared" si="8"/>
        <v>46</v>
      </c>
      <c r="K23" s="47">
        <f t="shared" si="8"/>
        <v>10</v>
      </c>
      <c r="L23" s="47">
        <f t="shared" si="8"/>
        <v>50</v>
      </c>
      <c r="M23" s="47">
        <f t="shared" si="8"/>
        <v>0</v>
      </c>
      <c r="O23" s="20">
        <f t="shared" si="7"/>
        <v>280</v>
      </c>
    </row>
    <row r="24">
      <c r="O24" s="17">
        <f t="shared" si="7"/>
        <v>0</v>
      </c>
    </row>
    <row r="25">
      <c r="A25" s="37">
        <v>45935.0</v>
      </c>
      <c r="B25" s="29"/>
      <c r="C25" s="29"/>
      <c r="D25" s="29"/>
      <c r="E25" s="29"/>
      <c r="F25" s="29"/>
      <c r="G25" s="29"/>
      <c r="H25" s="29"/>
      <c r="I25" s="29"/>
      <c r="J25" s="29"/>
      <c r="K25" s="74"/>
      <c r="L25" s="74"/>
      <c r="O25" s="17">
        <f t="shared" si="7"/>
        <v>0</v>
      </c>
    </row>
    <row r="26">
      <c r="A26" s="30" t="s">
        <v>14</v>
      </c>
      <c r="B26" s="30" t="s">
        <v>29</v>
      </c>
      <c r="C26" s="30" t="s">
        <v>30</v>
      </c>
      <c r="D26" s="30" t="s">
        <v>17</v>
      </c>
      <c r="E26" s="30" t="s">
        <v>31</v>
      </c>
      <c r="F26" s="30" t="s">
        <v>19</v>
      </c>
      <c r="G26" s="30" t="s">
        <v>20</v>
      </c>
      <c r="H26" s="30" t="s">
        <v>21</v>
      </c>
      <c r="I26" s="30" t="s">
        <v>22</v>
      </c>
      <c r="J26" s="30" t="s">
        <v>23</v>
      </c>
      <c r="K26" s="43" t="s">
        <v>24</v>
      </c>
      <c r="L26" s="44" t="s">
        <v>25</v>
      </c>
      <c r="M26" s="75" t="s">
        <v>53</v>
      </c>
      <c r="O26" s="17">
        <f>sum(C26:M26)</f>
        <v>0</v>
      </c>
    </row>
    <row r="27">
      <c r="A27" s="31" t="s">
        <v>26</v>
      </c>
      <c r="B27" s="33">
        <v>25.0</v>
      </c>
      <c r="C27" s="33">
        <v>10.42</v>
      </c>
      <c r="D27" s="33">
        <v>20.0</v>
      </c>
      <c r="E27" s="33">
        <v>18.0</v>
      </c>
      <c r="F27" s="33">
        <v>10.0</v>
      </c>
      <c r="G27" s="33">
        <v>6.0</v>
      </c>
      <c r="H27" s="33">
        <v>13.0</v>
      </c>
      <c r="I27" s="33">
        <v>5.0</v>
      </c>
      <c r="J27" s="33">
        <v>23.0</v>
      </c>
      <c r="K27" s="73">
        <v>7.0</v>
      </c>
      <c r="L27" s="73">
        <v>0.0</v>
      </c>
      <c r="M27" s="73">
        <v>22.0</v>
      </c>
      <c r="O27" s="17">
        <f t="shared" ref="O27:O31" si="9">sum(B27:M27)</f>
        <v>159.42</v>
      </c>
    </row>
    <row r="28">
      <c r="A28" s="31" t="s">
        <v>27</v>
      </c>
      <c r="B28" s="33">
        <v>15.0</v>
      </c>
      <c r="C28" s="33">
        <v>5.13</v>
      </c>
      <c r="D28" s="33">
        <v>0.0</v>
      </c>
      <c r="E28" s="33">
        <v>8.0</v>
      </c>
      <c r="F28" s="33">
        <v>4.0</v>
      </c>
      <c r="G28" s="33">
        <v>3.0</v>
      </c>
      <c r="H28" s="33">
        <v>9.0</v>
      </c>
      <c r="I28" s="33">
        <v>4.0</v>
      </c>
      <c r="J28" s="33">
        <v>8.0</v>
      </c>
      <c r="K28" s="73">
        <v>2.0</v>
      </c>
      <c r="L28" s="73">
        <v>0.0</v>
      </c>
      <c r="M28" s="73">
        <v>0.0</v>
      </c>
      <c r="O28" s="76">
        <f t="shared" si="9"/>
        <v>58.13</v>
      </c>
    </row>
    <row r="29">
      <c r="A29" s="34" t="s">
        <v>28</v>
      </c>
      <c r="B29" s="46">
        <f t="shared" ref="B29:M29" si="10">SUM(B27:B28)</f>
        <v>40</v>
      </c>
      <c r="C29" s="46">
        <f t="shared" si="10"/>
        <v>15.55</v>
      </c>
      <c r="D29" s="46">
        <f t="shared" si="10"/>
        <v>20</v>
      </c>
      <c r="E29" s="46">
        <f t="shared" si="10"/>
        <v>26</v>
      </c>
      <c r="F29" s="46">
        <f t="shared" si="10"/>
        <v>14</v>
      </c>
      <c r="G29" s="46">
        <f t="shared" si="10"/>
        <v>9</v>
      </c>
      <c r="H29" s="46">
        <f t="shared" si="10"/>
        <v>22</v>
      </c>
      <c r="I29" s="46">
        <f t="shared" si="10"/>
        <v>9</v>
      </c>
      <c r="J29" s="46">
        <f t="shared" si="10"/>
        <v>31</v>
      </c>
      <c r="K29" s="47">
        <f t="shared" si="10"/>
        <v>9</v>
      </c>
      <c r="L29" s="47">
        <f t="shared" si="10"/>
        <v>0</v>
      </c>
      <c r="M29" s="47">
        <f t="shared" si="10"/>
        <v>22</v>
      </c>
      <c r="O29" s="20">
        <f t="shared" si="9"/>
        <v>217.55</v>
      </c>
    </row>
    <row r="30">
      <c r="O30" s="17">
        <f t="shared" si="9"/>
        <v>0</v>
      </c>
    </row>
    <row r="31">
      <c r="A31" s="37">
        <v>45936.0</v>
      </c>
      <c r="B31" s="29"/>
      <c r="C31" s="29"/>
      <c r="D31" s="29"/>
      <c r="E31" s="29"/>
      <c r="F31" s="29"/>
      <c r="G31" s="29"/>
      <c r="H31" s="29"/>
      <c r="I31" s="29"/>
      <c r="J31" s="29"/>
      <c r="K31" s="74"/>
      <c r="L31" s="74"/>
      <c r="O31" s="17">
        <f t="shared" si="9"/>
        <v>0</v>
      </c>
    </row>
    <row r="32">
      <c r="A32" s="30" t="s">
        <v>14</v>
      </c>
      <c r="B32" s="30" t="s">
        <v>29</v>
      </c>
      <c r="C32" s="30" t="s">
        <v>30</v>
      </c>
      <c r="D32" s="30" t="s">
        <v>17</v>
      </c>
      <c r="E32" s="30" t="s">
        <v>31</v>
      </c>
      <c r="F32" s="30" t="s">
        <v>19</v>
      </c>
      <c r="G32" s="30" t="s">
        <v>20</v>
      </c>
      <c r="H32" s="30" t="s">
        <v>21</v>
      </c>
      <c r="I32" s="30" t="s">
        <v>22</v>
      </c>
      <c r="J32" s="30" t="s">
        <v>23</v>
      </c>
      <c r="K32" s="43" t="s">
        <v>24</v>
      </c>
      <c r="L32" s="44" t="s">
        <v>25</v>
      </c>
      <c r="M32" s="75" t="s">
        <v>53</v>
      </c>
      <c r="O32" s="17">
        <f>sum(C32:M32)</f>
        <v>0</v>
      </c>
    </row>
    <row r="33">
      <c r="A33" s="31" t="s">
        <v>26</v>
      </c>
      <c r="B33" s="33">
        <f>16+32</f>
        <v>48</v>
      </c>
      <c r="C33" s="33">
        <v>11.92</v>
      </c>
      <c r="D33" s="33">
        <v>10.0</v>
      </c>
      <c r="E33" s="33">
        <v>11.0</v>
      </c>
      <c r="F33" s="33">
        <v>7.0</v>
      </c>
      <c r="G33" s="33">
        <v>4.0</v>
      </c>
      <c r="H33" s="33">
        <v>7.0</v>
      </c>
      <c r="I33" s="33">
        <v>8.0</v>
      </c>
      <c r="J33" s="33">
        <v>22.0</v>
      </c>
      <c r="K33" s="73">
        <v>9.0</v>
      </c>
      <c r="L33" s="73">
        <v>55.0</v>
      </c>
      <c r="M33" s="73">
        <v>28.0</v>
      </c>
      <c r="O33" s="17">
        <f t="shared" ref="O33:O37" si="11">sum(B33:M33)</f>
        <v>220.92</v>
      </c>
    </row>
    <row r="34">
      <c r="A34" s="31" t="s">
        <v>27</v>
      </c>
      <c r="B34" s="33">
        <f>18+30</f>
        <v>48</v>
      </c>
      <c r="C34" s="33">
        <v>5.47</v>
      </c>
      <c r="D34" s="33">
        <v>0.0</v>
      </c>
      <c r="E34" s="33">
        <v>3.0</v>
      </c>
      <c r="F34" s="33">
        <v>6.0</v>
      </c>
      <c r="G34" s="33">
        <v>7.0</v>
      </c>
      <c r="H34" s="33">
        <v>8.0</v>
      </c>
      <c r="I34" s="33">
        <v>5.0</v>
      </c>
      <c r="J34" s="33">
        <v>9.0</v>
      </c>
      <c r="K34" s="73">
        <v>2.0</v>
      </c>
      <c r="L34" s="73">
        <v>0.0</v>
      </c>
      <c r="M34" s="73">
        <v>0.0</v>
      </c>
      <c r="O34" s="76">
        <f t="shared" si="11"/>
        <v>93.47</v>
      </c>
    </row>
    <row r="35">
      <c r="A35" s="34" t="s">
        <v>28</v>
      </c>
      <c r="B35" s="46">
        <f t="shared" ref="B35:M35" si="12">SUM(B33:B34)</f>
        <v>96</v>
      </c>
      <c r="C35" s="46">
        <f t="shared" si="12"/>
        <v>17.39</v>
      </c>
      <c r="D35" s="46">
        <f t="shared" si="12"/>
        <v>10</v>
      </c>
      <c r="E35" s="46">
        <f t="shared" si="12"/>
        <v>14</v>
      </c>
      <c r="F35" s="46">
        <f t="shared" si="12"/>
        <v>13</v>
      </c>
      <c r="G35" s="46">
        <f t="shared" si="12"/>
        <v>11</v>
      </c>
      <c r="H35" s="46">
        <f t="shared" si="12"/>
        <v>15</v>
      </c>
      <c r="I35" s="46">
        <f t="shared" si="12"/>
        <v>13</v>
      </c>
      <c r="J35" s="46">
        <f t="shared" si="12"/>
        <v>31</v>
      </c>
      <c r="K35" s="47">
        <f t="shared" si="12"/>
        <v>11</v>
      </c>
      <c r="L35" s="47">
        <f t="shared" si="12"/>
        <v>55</v>
      </c>
      <c r="M35" s="47">
        <f t="shared" si="12"/>
        <v>28</v>
      </c>
      <c r="O35" s="20">
        <f t="shared" si="11"/>
        <v>314.39</v>
      </c>
    </row>
    <row r="36">
      <c r="O36" s="17">
        <f t="shared" si="11"/>
        <v>0</v>
      </c>
    </row>
    <row r="37">
      <c r="A37" s="37">
        <v>45937.0</v>
      </c>
      <c r="B37" s="29"/>
      <c r="C37" s="29"/>
      <c r="D37" s="29"/>
      <c r="E37" s="29"/>
      <c r="F37" s="29"/>
      <c r="G37" s="29"/>
      <c r="H37" s="29"/>
      <c r="I37" s="29"/>
      <c r="J37" s="29"/>
      <c r="K37" s="74"/>
      <c r="L37" s="74"/>
      <c r="O37" s="17">
        <f t="shared" si="11"/>
        <v>0</v>
      </c>
    </row>
    <row r="38">
      <c r="A38" s="30" t="s">
        <v>14</v>
      </c>
      <c r="B38" s="30" t="s">
        <v>29</v>
      </c>
      <c r="C38" s="30" t="s">
        <v>30</v>
      </c>
      <c r="D38" s="30" t="s">
        <v>17</v>
      </c>
      <c r="E38" s="30" t="s">
        <v>31</v>
      </c>
      <c r="F38" s="30" t="s">
        <v>19</v>
      </c>
      <c r="G38" s="30" t="s">
        <v>20</v>
      </c>
      <c r="H38" s="30" t="s">
        <v>21</v>
      </c>
      <c r="I38" s="30" t="s">
        <v>22</v>
      </c>
      <c r="J38" s="30" t="s">
        <v>23</v>
      </c>
      <c r="K38" s="43" t="s">
        <v>24</v>
      </c>
      <c r="L38" s="44" t="s">
        <v>25</v>
      </c>
      <c r="M38" s="75" t="s">
        <v>53</v>
      </c>
      <c r="O38" s="17">
        <f>sum(C38:M38)</f>
        <v>0</v>
      </c>
    </row>
    <row r="39">
      <c r="A39" s="31" t="s">
        <v>26</v>
      </c>
      <c r="B39" s="33">
        <v>40.0</v>
      </c>
      <c r="C39" s="33">
        <v>13.36</v>
      </c>
      <c r="D39" s="33">
        <v>5.0</v>
      </c>
      <c r="E39" s="33">
        <v>16.0</v>
      </c>
      <c r="F39" s="33">
        <v>8.0</v>
      </c>
      <c r="G39" s="33">
        <v>5.0</v>
      </c>
      <c r="H39" s="33">
        <v>4.0</v>
      </c>
      <c r="I39" s="33">
        <v>12.0</v>
      </c>
      <c r="J39" s="33">
        <v>27.0</v>
      </c>
      <c r="K39" s="73">
        <v>10.0</v>
      </c>
      <c r="L39" s="73">
        <v>45.0</v>
      </c>
      <c r="M39" s="73">
        <v>30.0</v>
      </c>
      <c r="O39" s="17">
        <f t="shared" ref="O39:O43" si="13">sum(B39:M39)</f>
        <v>215.36</v>
      </c>
    </row>
    <row r="40">
      <c r="A40" s="31" t="s">
        <v>27</v>
      </c>
      <c r="B40" s="33">
        <v>23.0</v>
      </c>
      <c r="C40" s="33">
        <v>4.87</v>
      </c>
      <c r="D40" s="33">
        <v>0.0</v>
      </c>
      <c r="E40" s="33">
        <v>8.0</v>
      </c>
      <c r="F40" s="33">
        <v>10.0</v>
      </c>
      <c r="G40" s="33">
        <v>8.0</v>
      </c>
      <c r="H40" s="33">
        <v>15.0</v>
      </c>
      <c r="I40" s="33">
        <v>8.0</v>
      </c>
      <c r="J40" s="33">
        <v>10.0</v>
      </c>
      <c r="K40" s="73">
        <v>3.0</v>
      </c>
      <c r="L40" s="73">
        <v>0.0</v>
      </c>
      <c r="M40" s="73">
        <v>0.0</v>
      </c>
      <c r="O40" s="76">
        <f t="shared" si="13"/>
        <v>89.87</v>
      </c>
    </row>
    <row r="41">
      <c r="A41" s="34" t="s">
        <v>28</v>
      </c>
      <c r="B41" s="46">
        <f t="shared" ref="B41:M41" si="14">SUM(B39:B40)</f>
        <v>63</v>
      </c>
      <c r="C41" s="46">
        <f t="shared" si="14"/>
        <v>18.23</v>
      </c>
      <c r="D41" s="46">
        <f t="shared" si="14"/>
        <v>5</v>
      </c>
      <c r="E41" s="46">
        <f t="shared" si="14"/>
        <v>24</v>
      </c>
      <c r="F41" s="46">
        <f t="shared" si="14"/>
        <v>18</v>
      </c>
      <c r="G41" s="46">
        <f t="shared" si="14"/>
        <v>13</v>
      </c>
      <c r="H41" s="46">
        <f t="shared" si="14"/>
        <v>19</v>
      </c>
      <c r="I41" s="46">
        <f t="shared" si="14"/>
        <v>20</v>
      </c>
      <c r="J41" s="46">
        <f t="shared" si="14"/>
        <v>37</v>
      </c>
      <c r="K41" s="47">
        <f t="shared" si="14"/>
        <v>13</v>
      </c>
      <c r="L41" s="47">
        <f t="shared" si="14"/>
        <v>45</v>
      </c>
      <c r="M41" s="47">
        <f t="shared" si="14"/>
        <v>30</v>
      </c>
      <c r="O41" s="20">
        <f t="shared" si="13"/>
        <v>305.23</v>
      </c>
    </row>
    <row r="42">
      <c r="O42" s="17">
        <f t="shared" si="13"/>
        <v>0</v>
      </c>
    </row>
    <row r="43">
      <c r="A43" s="37">
        <v>45938.0</v>
      </c>
      <c r="B43" s="29"/>
      <c r="C43" s="29"/>
      <c r="D43" s="29"/>
      <c r="E43" s="29"/>
      <c r="F43" s="29"/>
      <c r="G43" s="29"/>
      <c r="H43" s="29"/>
      <c r="I43" s="29"/>
      <c r="J43" s="29"/>
      <c r="K43" s="74"/>
      <c r="L43" s="74"/>
      <c r="O43" s="17">
        <f t="shared" si="13"/>
        <v>0</v>
      </c>
    </row>
    <row r="44">
      <c r="A44" s="30" t="s">
        <v>14</v>
      </c>
      <c r="B44" s="30" t="s">
        <v>29</v>
      </c>
      <c r="C44" s="30" t="s">
        <v>30</v>
      </c>
      <c r="D44" s="30" t="s">
        <v>17</v>
      </c>
      <c r="E44" s="30" t="s">
        <v>31</v>
      </c>
      <c r="F44" s="30" t="s">
        <v>19</v>
      </c>
      <c r="G44" s="30" t="s">
        <v>20</v>
      </c>
      <c r="H44" s="30" t="s">
        <v>21</v>
      </c>
      <c r="I44" s="30" t="s">
        <v>22</v>
      </c>
      <c r="J44" s="30" t="s">
        <v>23</v>
      </c>
      <c r="K44" s="43" t="s">
        <v>24</v>
      </c>
      <c r="L44" s="44" t="s">
        <v>25</v>
      </c>
      <c r="M44" s="75" t="s">
        <v>53</v>
      </c>
      <c r="O44" s="17">
        <f>sum(C44:M44)</f>
        <v>0</v>
      </c>
    </row>
    <row r="45">
      <c r="A45" s="31" t="s">
        <v>26</v>
      </c>
      <c r="B45" s="33">
        <v>17.0</v>
      </c>
      <c r="C45" s="33">
        <v>10.63</v>
      </c>
      <c r="D45" s="33">
        <v>8.0</v>
      </c>
      <c r="E45" s="33">
        <v>10.0</v>
      </c>
      <c r="F45" s="33">
        <v>5.0</v>
      </c>
      <c r="G45" s="33">
        <v>6.0</v>
      </c>
      <c r="H45" s="33">
        <v>5.0</v>
      </c>
      <c r="I45" s="33">
        <v>10.0</v>
      </c>
      <c r="J45" s="33">
        <v>11.0</v>
      </c>
      <c r="K45" s="73">
        <v>12.0</v>
      </c>
      <c r="L45" s="73">
        <v>45.0</v>
      </c>
      <c r="M45" s="73">
        <v>30.0</v>
      </c>
      <c r="O45" s="17">
        <f t="shared" ref="O45:O49" si="15">sum(B45:M45)</f>
        <v>169.63</v>
      </c>
    </row>
    <row r="46">
      <c r="A46" s="31" t="s">
        <v>27</v>
      </c>
      <c r="B46" s="33">
        <v>10.0</v>
      </c>
      <c r="C46" s="33">
        <v>4.59</v>
      </c>
      <c r="D46" s="33">
        <v>15.0</v>
      </c>
      <c r="E46" s="33">
        <v>7.0</v>
      </c>
      <c r="F46" s="33">
        <v>8.0</v>
      </c>
      <c r="G46" s="33">
        <v>5.0</v>
      </c>
      <c r="H46" s="33">
        <v>10.0</v>
      </c>
      <c r="I46" s="33">
        <v>5.0</v>
      </c>
      <c r="J46" s="33">
        <v>6.0</v>
      </c>
      <c r="K46" s="73">
        <v>3.0</v>
      </c>
      <c r="L46" s="73">
        <v>0.0</v>
      </c>
      <c r="M46" s="73">
        <v>0.0</v>
      </c>
      <c r="O46" s="76">
        <f t="shared" si="15"/>
        <v>73.59</v>
      </c>
    </row>
    <row r="47">
      <c r="A47" s="34" t="s">
        <v>28</v>
      </c>
      <c r="B47" s="46">
        <f t="shared" ref="B47:M47" si="16">SUM(B45:B46)</f>
        <v>27</v>
      </c>
      <c r="C47" s="46">
        <f t="shared" si="16"/>
        <v>15.22</v>
      </c>
      <c r="D47" s="46">
        <f t="shared" si="16"/>
        <v>23</v>
      </c>
      <c r="E47" s="46">
        <f t="shared" si="16"/>
        <v>17</v>
      </c>
      <c r="F47" s="46">
        <f t="shared" si="16"/>
        <v>13</v>
      </c>
      <c r="G47" s="46">
        <f t="shared" si="16"/>
        <v>11</v>
      </c>
      <c r="H47" s="46">
        <f t="shared" si="16"/>
        <v>15</v>
      </c>
      <c r="I47" s="46">
        <f t="shared" si="16"/>
        <v>15</v>
      </c>
      <c r="J47" s="46">
        <f t="shared" si="16"/>
        <v>17</v>
      </c>
      <c r="K47" s="47">
        <f t="shared" si="16"/>
        <v>15</v>
      </c>
      <c r="L47" s="47">
        <f t="shared" si="16"/>
        <v>45</v>
      </c>
      <c r="M47" s="47">
        <f t="shared" si="16"/>
        <v>30</v>
      </c>
      <c r="O47" s="20">
        <f t="shared" si="15"/>
        <v>243.22</v>
      </c>
    </row>
    <row r="48">
      <c r="O48" s="17">
        <f t="shared" si="15"/>
        <v>0</v>
      </c>
    </row>
    <row r="49">
      <c r="A49" s="37">
        <v>45939.0</v>
      </c>
      <c r="B49" s="29"/>
      <c r="C49" s="29"/>
      <c r="D49" s="29"/>
      <c r="E49" s="29"/>
      <c r="F49" s="29"/>
      <c r="G49" s="29"/>
      <c r="H49" s="29"/>
      <c r="I49" s="29"/>
      <c r="J49" s="29"/>
      <c r="K49" s="74"/>
      <c r="L49" s="74"/>
      <c r="O49" s="17">
        <f t="shared" si="15"/>
        <v>0</v>
      </c>
    </row>
    <row r="50">
      <c r="A50" s="30" t="s">
        <v>14</v>
      </c>
      <c r="B50" s="30" t="s">
        <v>29</v>
      </c>
      <c r="C50" s="30" t="s">
        <v>30</v>
      </c>
      <c r="D50" s="30" t="s">
        <v>17</v>
      </c>
      <c r="E50" s="30" t="s">
        <v>31</v>
      </c>
      <c r="F50" s="30" t="s">
        <v>19</v>
      </c>
      <c r="G50" s="30" t="s">
        <v>20</v>
      </c>
      <c r="H50" s="30" t="s">
        <v>21</v>
      </c>
      <c r="I50" s="30" t="s">
        <v>22</v>
      </c>
      <c r="J50" s="30" t="s">
        <v>23</v>
      </c>
      <c r="K50" s="43" t="s">
        <v>24</v>
      </c>
      <c r="L50" s="44" t="s">
        <v>25</v>
      </c>
      <c r="M50" s="75" t="s">
        <v>53</v>
      </c>
      <c r="O50" s="17">
        <f>sum(C50:M50)</f>
        <v>0</v>
      </c>
    </row>
    <row r="51">
      <c r="A51" s="31" t="s">
        <v>26</v>
      </c>
      <c r="B51" s="33">
        <v>14.0</v>
      </c>
      <c r="C51" s="33">
        <v>12.42</v>
      </c>
      <c r="D51" s="33">
        <v>4.0</v>
      </c>
      <c r="E51" s="33">
        <v>6.0</v>
      </c>
      <c r="F51" s="33">
        <v>8.0</v>
      </c>
      <c r="G51" s="33">
        <v>6.0</v>
      </c>
      <c r="H51" s="33">
        <v>9.0</v>
      </c>
      <c r="I51" s="33">
        <v>10.0</v>
      </c>
      <c r="J51" s="33">
        <v>16.0</v>
      </c>
      <c r="K51" s="73">
        <v>13.0</v>
      </c>
      <c r="L51" s="73">
        <v>40.0</v>
      </c>
      <c r="M51" s="73">
        <v>27.0</v>
      </c>
      <c r="O51" s="17">
        <f t="shared" ref="O51:O55" si="17">sum(B51:M51)</f>
        <v>165.42</v>
      </c>
    </row>
    <row r="52">
      <c r="A52" s="31" t="s">
        <v>27</v>
      </c>
      <c r="B52" s="33">
        <v>42.0</v>
      </c>
      <c r="C52" s="33">
        <v>5.71</v>
      </c>
      <c r="D52" s="33">
        <v>0.0</v>
      </c>
      <c r="E52" s="33">
        <v>3.0</v>
      </c>
      <c r="F52" s="33">
        <v>4.0</v>
      </c>
      <c r="G52" s="33">
        <v>7.0</v>
      </c>
      <c r="H52" s="33">
        <v>8.0</v>
      </c>
      <c r="I52" s="33">
        <v>9.0</v>
      </c>
      <c r="J52" s="33">
        <v>7.0</v>
      </c>
      <c r="K52" s="73">
        <v>2.0</v>
      </c>
      <c r="L52" s="73">
        <v>0.0</v>
      </c>
      <c r="M52" s="73">
        <v>0.0</v>
      </c>
      <c r="O52" s="76">
        <f t="shared" si="17"/>
        <v>87.71</v>
      </c>
    </row>
    <row r="53">
      <c r="A53" s="34" t="s">
        <v>28</v>
      </c>
      <c r="B53" s="46">
        <f t="shared" ref="B53:M53" si="18">SUM(B51:B52)</f>
        <v>56</v>
      </c>
      <c r="C53" s="46">
        <f t="shared" si="18"/>
        <v>18.13</v>
      </c>
      <c r="D53" s="46">
        <f t="shared" si="18"/>
        <v>4</v>
      </c>
      <c r="E53" s="46">
        <f t="shared" si="18"/>
        <v>9</v>
      </c>
      <c r="F53" s="46">
        <f t="shared" si="18"/>
        <v>12</v>
      </c>
      <c r="G53" s="46">
        <f t="shared" si="18"/>
        <v>13</v>
      </c>
      <c r="H53" s="46">
        <f t="shared" si="18"/>
        <v>17</v>
      </c>
      <c r="I53" s="46">
        <f t="shared" si="18"/>
        <v>19</v>
      </c>
      <c r="J53" s="46">
        <f t="shared" si="18"/>
        <v>23</v>
      </c>
      <c r="K53" s="47">
        <f t="shared" si="18"/>
        <v>15</v>
      </c>
      <c r="L53" s="47">
        <f t="shared" si="18"/>
        <v>40</v>
      </c>
      <c r="M53" s="47">
        <f t="shared" si="18"/>
        <v>27</v>
      </c>
      <c r="O53" s="20">
        <f t="shared" si="17"/>
        <v>253.13</v>
      </c>
    </row>
    <row r="54">
      <c r="O54" s="17">
        <f t="shared" si="17"/>
        <v>0</v>
      </c>
    </row>
    <row r="55">
      <c r="A55" s="37">
        <v>45940.0</v>
      </c>
      <c r="B55" s="29"/>
      <c r="C55" s="29"/>
      <c r="D55" s="29"/>
      <c r="E55" s="29"/>
      <c r="F55" s="29"/>
      <c r="G55" s="29"/>
      <c r="H55" s="29"/>
      <c r="I55" s="29"/>
      <c r="J55" s="29"/>
      <c r="K55" s="74"/>
      <c r="L55" s="74"/>
      <c r="O55" s="17">
        <f t="shared" si="17"/>
        <v>0</v>
      </c>
    </row>
    <row r="56">
      <c r="A56" s="30" t="s">
        <v>14</v>
      </c>
      <c r="B56" s="30" t="s">
        <v>29</v>
      </c>
      <c r="C56" s="30" t="s">
        <v>30</v>
      </c>
      <c r="D56" s="30" t="s">
        <v>17</v>
      </c>
      <c r="E56" s="30" t="s">
        <v>31</v>
      </c>
      <c r="F56" s="30" t="s">
        <v>19</v>
      </c>
      <c r="G56" s="30" t="s">
        <v>20</v>
      </c>
      <c r="H56" s="30" t="s">
        <v>21</v>
      </c>
      <c r="I56" s="30" t="s">
        <v>22</v>
      </c>
      <c r="J56" s="30" t="s">
        <v>23</v>
      </c>
      <c r="K56" s="43" t="s">
        <v>24</v>
      </c>
      <c r="L56" s="44" t="s">
        <v>25</v>
      </c>
      <c r="M56" s="75" t="s">
        <v>53</v>
      </c>
      <c r="O56" s="17">
        <f>sum(C56:M56)</f>
        <v>0</v>
      </c>
    </row>
    <row r="57">
      <c r="A57" s="31" t="s">
        <v>26</v>
      </c>
      <c r="B57" s="33">
        <v>22.0</v>
      </c>
      <c r="C57" s="21">
        <v>11.65</v>
      </c>
      <c r="D57" s="33">
        <v>2.0</v>
      </c>
      <c r="E57" s="33">
        <v>5.0</v>
      </c>
      <c r="F57" s="33">
        <v>4.0</v>
      </c>
      <c r="G57" s="33">
        <v>4.0</v>
      </c>
      <c r="H57" s="33">
        <v>8.0</v>
      </c>
      <c r="I57" s="33">
        <v>12.0</v>
      </c>
      <c r="J57" s="33">
        <v>10.0</v>
      </c>
      <c r="K57" s="73">
        <v>15.0</v>
      </c>
      <c r="L57" s="73">
        <v>48.0</v>
      </c>
      <c r="M57" s="73">
        <v>45.0</v>
      </c>
      <c r="O57" s="17">
        <f t="shared" ref="O57:O61" si="19">sum(B57:M57)</f>
        <v>186.65</v>
      </c>
    </row>
    <row r="58">
      <c r="A58" s="31" t="s">
        <v>27</v>
      </c>
      <c r="B58" s="33">
        <f>36+15</f>
        <v>51</v>
      </c>
      <c r="C58" s="33">
        <v>4.27</v>
      </c>
      <c r="D58" s="33">
        <v>0.0</v>
      </c>
      <c r="E58" s="33">
        <v>7.0</v>
      </c>
      <c r="F58" s="33">
        <v>5.0</v>
      </c>
      <c r="G58" s="33">
        <v>3.0</v>
      </c>
      <c r="H58" s="33">
        <v>9.0</v>
      </c>
      <c r="I58" s="33">
        <v>10.0</v>
      </c>
      <c r="J58" s="33">
        <v>9.0</v>
      </c>
      <c r="K58" s="73">
        <v>2.0</v>
      </c>
      <c r="L58" s="73">
        <v>0.0</v>
      </c>
      <c r="M58" s="73">
        <v>0.0</v>
      </c>
      <c r="O58" s="76">
        <f t="shared" si="19"/>
        <v>100.27</v>
      </c>
    </row>
    <row r="59">
      <c r="A59" s="34" t="s">
        <v>28</v>
      </c>
      <c r="B59" s="46">
        <f t="shared" ref="B59:M59" si="20">SUM(B57:B58)</f>
        <v>73</v>
      </c>
      <c r="C59" s="46">
        <f t="shared" si="20"/>
        <v>15.92</v>
      </c>
      <c r="D59" s="46">
        <f t="shared" si="20"/>
        <v>2</v>
      </c>
      <c r="E59" s="46">
        <f t="shared" si="20"/>
        <v>12</v>
      </c>
      <c r="F59" s="46">
        <f t="shared" si="20"/>
        <v>9</v>
      </c>
      <c r="G59" s="46">
        <f t="shared" si="20"/>
        <v>7</v>
      </c>
      <c r="H59" s="46">
        <f t="shared" si="20"/>
        <v>17</v>
      </c>
      <c r="I59" s="46">
        <f t="shared" si="20"/>
        <v>22</v>
      </c>
      <c r="J59" s="46">
        <f t="shared" si="20"/>
        <v>19</v>
      </c>
      <c r="K59" s="47">
        <f t="shared" si="20"/>
        <v>17</v>
      </c>
      <c r="L59" s="47">
        <f t="shared" si="20"/>
        <v>48</v>
      </c>
      <c r="M59" s="47">
        <f t="shared" si="20"/>
        <v>45</v>
      </c>
      <c r="O59" s="20">
        <f t="shared" si="19"/>
        <v>286.92</v>
      </c>
    </row>
    <row r="60">
      <c r="O60" s="17">
        <f t="shared" si="19"/>
        <v>0</v>
      </c>
    </row>
    <row r="61">
      <c r="A61" s="37">
        <v>45941.0</v>
      </c>
      <c r="B61" s="29"/>
      <c r="C61" s="29"/>
      <c r="D61" s="29"/>
      <c r="E61" s="29"/>
      <c r="F61" s="29"/>
      <c r="G61" s="29"/>
      <c r="H61" s="29"/>
      <c r="I61" s="29"/>
      <c r="J61" s="29"/>
      <c r="K61" s="74"/>
      <c r="L61" s="74"/>
      <c r="O61" s="17">
        <f t="shared" si="19"/>
        <v>0</v>
      </c>
    </row>
    <row r="62">
      <c r="A62" s="30" t="s">
        <v>14</v>
      </c>
      <c r="B62" s="30" t="s">
        <v>29</v>
      </c>
      <c r="C62" s="30" t="s">
        <v>30</v>
      </c>
      <c r="D62" s="30" t="s">
        <v>17</v>
      </c>
      <c r="E62" s="30" t="s">
        <v>31</v>
      </c>
      <c r="F62" s="30" t="s">
        <v>19</v>
      </c>
      <c r="G62" s="30" t="s">
        <v>20</v>
      </c>
      <c r="H62" s="30" t="s">
        <v>21</v>
      </c>
      <c r="I62" s="30" t="s">
        <v>22</v>
      </c>
      <c r="J62" s="30" t="s">
        <v>23</v>
      </c>
      <c r="K62" s="43" t="s">
        <v>24</v>
      </c>
      <c r="L62" s="44" t="s">
        <v>25</v>
      </c>
      <c r="M62" s="75" t="s">
        <v>53</v>
      </c>
      <c r="O62" s="17">
        <f>sum(C62:M62)</f>
        <v>0</v>
      </c>
    </row>
    <row r="63">
      <c r="A63" s="31" t="s">
        <v>26</v>
      </c>
      <c r="B63" s="33">
        <v>26.0</v>
      </c>
      <c r="C63" s="33">
        <v>13.12</v>
      </c>
      <c r="D63" s="33">
        <v>18.0</v>
      </c>
      <c r="E63" s="33">
        <v>6.0</v>
      </c>
      <c r="F63" s="33">
        <v>6.0</v>
      </c>
      <c r="G63" s="33">
        <v>3.0</v>
      </c>
      <c r="H63" s="33">
        <v>7.0</v>
      </c>
      <c r="I63" s="33">
        <v>10.0</v>
      </c>
      <c r="J63" s="33">
        <v>11.0</v>
      </c>
      <c r="K63" s="73">
        <v>12.0</v>
      </c>
      <c r="L63" s="73">
        <v>42.0</v>
      </c>
      <c r="M63" s="73">
        <v>0.0</v>
      </c>
      <c r="O63" s="17">
        <f t="shared" ref="O63:O67" si="21">sum(B63:M63)</f>
        <v>154.12</v>
      </c>
    </row>
    <row r="64">
      <c r="A64" s="31" t="s">
        <v>27</v>
      </c>
      <c r="B64" s="33">
        <v>68.0</v>
      </c>
      <c r="C64" s="33">
        <v>5.37</v>
      </c>
      <c r="D64" s="33">
        <v>5.0</v>
      </c>
      <c r="E64" s="33">
        <v>4.0</v>
      </c>
      <c r="F64" s="33">
        <v>4.0</v>
      </c>
      <c r="G64" s="33">
        <v>4.0</v>
      </c>
      <c r="H64" s="33">
        <v>5.0</v>
      </c>
      <c r="I64" s="33">
        <v>12.0</v>
      </c>
      <c r="J64" s="33">
        <v>7.0</v>
      </c>
      <c r="K64" s="73">
        <v>2.0</v>
      </c>
      <c r="L64" s="73">
        <v>0.0</v>
      </c>
      <c r="M64" s="73">
        <v>0.0</v>
      </c>
      <c r="O64" s="76">
        <f t="shared" si="21"/>
        <v>116.37</v>
      </c>
    </row>
    <row r="65">
      <c r="A65" s="34" t="s">
        <v>28</v>
      </c>
      <c r="B65" s="46">
        <f t="shared" ref="B65:M65" si="22">SUM(B63:B64)</f>
        <v>94</v>
      </c>
      <c r="C65" s="46">
        <f t="shared" si="22"/>
        <v>18.49</v>
      </c>
      <c r="D65" s="46">
        <f t="shared" si="22"/>
        <v>23</v>
      </c>
      <c r="E65" s="46">
        <f t="shared" si="22"/>
        <v>10</v>
      </c>
      <c r="F65" s="46">
        <f t="shared" si="22"/>
        <v>10</v>
      </c>
      <c r="G65" s="46">
        <f t="shared" si="22"/>
        <v>7</v>
      </c>
      <c r="H65" s="46">
        <f t="shared" si="22"/>
        <v>12</v>
      </c>
      <c r="I65" s="46">
        <f t="shared" si="22"/>
        <v>22</v>
      </c>
      <c r="J65" s="46">
        <f t="shared" si="22"/>
        <v>18</v>
      </c>
      <c r="K65" s="47">
        <f t="shared" si="22"/>
        <v>14</v>
      </c>
      <c r="L65" s="47">
        <f t="shared" si="22"/>
        <v>42</v>
      </c>
      <c r="M65" s="47">
        <f t="shared" si="22"/>
        <v>0</v>
      </c>
      <c r="O65" s="20">
        <f t="shared" si="21"/>
        <v>270.49</v>
      </c>
    </row>
    <row r="66">
      <c r="O66" s="17">
        <f t="shared" si="21"/>
        <v>0</v>
      </c>
    </row>
    <row r="67">
      <c r="A67" s="37">
        <v>45942.0</v>
      </c>
      <c r="B67" s="29"/>
      <c r="C67" s="29"/>
      <c r="D67" s="29"/>
      <c r="E67" s="29"/>
      <c r="F67" s="29"/>
      <c r="G67" s="29"/>
      <c r="H67" s="29"/>
      <c r="I67" s="29"/>
      <c r="J67" s="29"/>
      <c r="K67" s="74"/>
      <c r="L67" s="74"/>
      <c r="O67" s="17">
        <f t="shared" si="21"/>
        <v>0</v>
      </c>
    </row>
    <row r="68">
      <c r="A68" s="30" t="s">
        <v>14</v>
      </c>
      <c r="B68" s="30" t="s">
        <v>29</v>
      </c>
      <c r="C68" s="30" t="s">
        <v>30</v>
      </c>
      <c r="D68" s="30" t="s">
        <v>17</v>
      </c>
      <c r="E68" s="30" t="s">
        <v>31</v>
      </c>
      <c r="F68" s="30" t="s">
        <v>19</v>
      </c>
      <c r="G68" s="30" t="s">
        <v>20</v>
      </c>
      <c r="H68" s="30" t="s">
        <v>21</v>
      </c>
      <c r="I68" s="30" t="s">
        <v>22</v>
      </c>
      <c r="J68" s="30" t="s">
        <v>23</v>
      </c>
      <c r="K68" s="43" t="s">
        <v>24</v>
      </c>
      <c r="L68" s="44" t="s">
        <v>25</v>
      </c>
      <c r="M68" s="75" t="s">
        <v>53</v>
      </c>
      <c r="O68" s="17">
        <f>sum(C68:M68)</f>
        <v>0</v>
      </c>
    </row>
    <row r="69">
      <c r="A69" s="31" t="s">
        <v>26</v>
      </c>
      <c r="B69" s="33">
        <v>39.0</v>
      </c>
      <c r="C69" s="33">
        <v>10.94</v>
      </c>
      <c r="D69" s="33"/>
      <c r="E69" s="33">
        <v>0.0</v>
      </c>
      <c r="F69" s="33">
        <v>0.0</v>
      </c>
      <c r="G69" s="33">
        <v>2.0</v>
      </c>
      <c r="H69" s="33">
        <v>11.0</v>
      </c>
      <c r="I69" s="33">
        <v>0.0</v>
      </c>
      <c r="J69" s="33">
        <v>0.0</v>
      </c>
      <c r="K69" s="73">
        <v>12.0</v>
      </c>
      <c r="L69" s="73">
        <v>0.0</v>
      </c>
      <c r="M69" s="73">
        <v>45.0</v>
      </c>
      <c r="O69" s="17">
        <f t="shared" ref="O69:O73" si="23">sum(B69:M69)</f>
        <v>119.94</v>
      </c>
    </row>
    <row r="70">
      <c r="A70" s="31" t="s">
        <v>27</v>
      </c>
      <c r="B70" s="33">
        <v>38.0</v>
      </c>
      <c r="C70" s="33">
        <v>4.68</v>
      </c>
      <c r="D70" s="33"/>
      <c r="E70" s="33">
        <v>0.0</v>
      </c>
      <c r="F70" s="33">
        <v>0.0</v>
      </c>
      <c r="G70" s="33">
        <v>5.0</v>
      </c>
      <c r="H70" s="33">
        <v>6.0</v>
      </c>
      <c r="I70" s="33">
        <v>0.0</v>
      </c>
      <c r="J70" s="33">
        <v>0.0</v>
      </c>
      <c r="K70" s="73">
        <v>2.0</v>
      </c>
      <c r="L70" s="73">
        <v>0.0</v>
      </c>
      <c r="M70" s="73">
        <v>0.0</v>
      </c>
      <c r="O70" s="76">
        <f t="shared" si="23"/>
        <v>55.68</v>
      </c>
    </row>
    <row r="71">
      <c r="A71" s="34" t="s">
        <v>28</v>
      </c>
      <c r="B71" s="46">
        <f t="shared" ref="B71:M71" si="24">SUM(B69:B70)</f>
        <v>77</v>
      </c>
      <c r="C71" s="46">
        <f t="shared" si="24"/>
        <v>15.62</v>
      </c>
      <c r="D71" s="46">
        <f t="shared" si="24"/>
        <v>0</v>
      </c>
      <c r="E71" s="46">
        <f t="shared" si="24"/>
        <v>0</v>
      </c>
      <c r="F71" s="46">
        <f t="shared" si="24"/>
        <v>0</v>
      </c>
      <c r="G71" s="46">
        <f t="shared" si="24"/>
        <v>7</v>
      </c>
      <c r="H71" s="46">
        <f t="shared" si="24"/>
        <v>17</v>
      </c>
      <c r="I71" s="46">
        <f t="shared" si="24"/>
        <v>0</v>
      </c>
      <c r="J71" s="46">
        <f t="shared" si="24"/>
        <v>0</v>
      </c>
      <c r="K71" s="47">
        <f t="shared" si="24"/>
        <v>14</v>
      </c>
      <c r="L71" s="47">
        <f t="shared" si="24"/>
        <v>0</v>
      </c>
      <c r="M71" s="47">
        <f t="shared" si="24"/>
        <v>45</v>
      </c>
      <c r="O71" s="20">
        <f t="shared" si="23"/>
        <v>175.62</v>
      </c>
    </row>
    <row r="72">
      <c r="O72" s="17">
        <f t="shared" si="23"/>
        <v>0</v>
      </c>
    </row>
    <row r="73">
      <c r="A73" s="37">
        <v>45943.0</v>
      </c>
      <c r="B73" s="29"/>
      <c r="C73" s="29"/>
      <c r="D73" s="29"/>
      <c r="E73" s="29"/>
      <c r="F73" s="29"/>
      <c r="G73" s="29"/>
      <c r="H73" s="29"/>
      <c r="I73" s="29"/>
      <c r="J73" s="29"/>
      <c r="K73" s="74"/>
      <c r="L73" s="74"/>
      <c r="O73" s="17">
        <f t="shared" si="23"/>
        <v>0</v>
      </c>
    </row>
    <row r="74">
      <c r="A74" s="30" t="s">
        <v>14</v>
      </c>
      <c r="B74" s="30" t="s">
        <v>29</v>
      </c>
      <c r="C74" s="30" t="s">
        <v>30</v>
      </c>
      <c r="D74" s="30" t="s">
        <v>17</v>
      </c>
      <c r="E74" s="30" t="s">
        <v>31</v>
      </c>
      <c r="F74" s="30" t="s">
        <v>19</v>
      </c>
      <c r="G74" s="30" t="s">
        <v>20</v>
      </c>
      <c r="H74" s="30" t="s">
        <v>21</v>
      </c>
      <c r="I74" s="30" t="s">
        <v>22</v>
      </c>
      <c r="J74" s="30" t="s">
        <v>23</v>
      </c>
      <c r="K74" s="43" t="s">
        <v>24</v>
      </c>
      <c r="L74" s="44" t="s">
        <v>25</v>
      </c>
      <c r="M74" s="75" t="s">
        <v>53</v>
      </c>
      <c r="O74" s="17">
        <f>sum(C74:M74)</f>
        <v>0</v>
      </c>
    </row>
    <row r="75">
      <c r="A75" s="31" t="s">
        <v>26</v>
      </c>
      <c r="B75" s="33">
        <v>40.0</v>
      </c>
      <c r="C75" s="33">
        <v>18.2</v>
      </c>
      <c r="D75" s="33">
        <v>8.0</v>
      </c>
      <c r="E75" s="33">
        <v>0.0</v>
      </c>
      <c r="F75" s="33">
        <v>0.0</v>
      </c>
      <c r="G75" s="33">
        <v>3.0</v>
      </c>
      <c r="H75" s="33">
        <v>12.0</v>
      </c>
      <c r="I75" s="33">
        <v>0.0</v>
      </c>
      <c r="J75" s="33">
        <v>0.0</v>
      </c>
      <c r="K75" s="73">
        <v>11.0</v>
      </c>
      <c r="L75" s="73">
        <v>37.0</v>
      </c>
      <c r="M75" s="73">
        <v>62.0</v>
      </c>
      <c r="O75" s="17">
        <f t="shared" ref="O75:O79" si="25">sum(B75:M75)</f>
        <v>191.2</v>
      </c>
    </row>
    <row r="76">
      <c r="A76" s="31" t="s">
        <v>27</v>
      </c>
      <c r="B76" s="33">
        <v>64.0</v>
      </c>
      <c r="C76" s="33">
        <v>11.1</v>
      </c>
      <c r="D76" s="33">
        <v>0.0</v>
      </c>
      <c r="E76" s="33">
        <v>0.0</v>
      </c>
      <c r="F76" s="33">
        <v>0.0</v>
      </c>
      <c r="G76" s="33">
        <v>6.0</v>
      </c>
      <c r="H76" s="33">
        <v>7.0</v>
      </c>
      <c r="I76" s="33">
        <v>0.0</v>
      </c>
      <c r="J76" s="33">
        <v>0.0</v>
      </c>
      <c r="K76" s="73">
        <v>3.0</v>
      </c>
      <c r="L76" s="73">
        <v>0.0</v>
      </c>
      <c r="M76" s="73">
        <v>0.0</v>
      </c>
      <c r="O76" s="76">
        <f t="shared" si="25"/>
        <v>91.1</v>
      </c>
    </row>
    <row r="77">
      <c r="A77" s="34" t="s">
        <v>28</v>
      </c>
      <c r="B77" s="46">
        <f t="shared" ref="B77:M77" si="26">SUM(B75:B76)</f>
        <v>104</v>
      </c>
      <c r="C77" s="46">
        <f t="shared" si="26"/>
        <v>29.3</v>
      </c>
      <c r="D77" s="46">
        <f t="shared" si="26"/>
        <v>8</v>
      </c>
      <c r="E77" s="46">
        <f t="shared" si="26"/>
        <v>0</v>
      </c>
      <c r="F77" s="46">
        <f t="shared" si="26"/>
        <v>0</v>
      </c>
      <c r="G77" s="46">
        <f t="shared" si="26"/>
        <v>9</v>
      </c>
      <c r="H77" s="46">
        <f t="shared" si="26"/>
        <v>19</v>
      </c>
      <c r="I77" s="46">
        <f t="shared" si="26"/>
        <v>0</v>
      </c>
      <c r="J77" s="46">
        <f t="shared" si="26"/>
        <v>0</v>
      </c>
      <c r="K77" s="47">
        <f t="shared" si="26"/>
        <v>14</v>
      </c>
      <c r="L77" s="47">
        <f t="shared" si="26"/>
        <v>37</v>
      </c>
      <c r="M77" s="47">
        <f t="shared" si="26"/>
        <v>62</v>
      </c>
      <c r="O77" s="20">
        <f t="shared" si="25"/>
        <v>282.3</v>
      </c>
    </row>
    <row r="78">
      <c r="O78" s="17">
        <f t="shared" si="25"/>
        <v>0</v>
      </c>
    </row>
    <row r="79">
      <c r="A79" s="37">
        <v>45944.0</v>
      </c>
      <c r="B79" s="29"/>
      <c r="C79" s="29"/>
      <c r="D79" s="29"/>
      <c r="E79" s="29"/>
      <c r="F79" s="29"/>
      <c r="G79" s="29"/>
      <c r="H79" s="29"/>
      <c r="I79" s="29"/>
      <c r="J79" s="29"/>
      <c r="K79" s="74"/>
      <c r="L79" s="74"/>
      <c r="O79" s="17">
        <f t="shared" si="25"/>
        <v>0</v>
      </c>
    </row>
    <row r="80">
      <c r="A80" s="30" t="s">
        <v>14</v>
      </c>
      <c r="B80" s="30" t="s">
        <v>29</v>
      </c>
      <c r="C80" s="30" t="s">
        <v>30</v>
      </c>
      <c r="D80" s="30" t="s">
        <v>17</v>
      </c>
      <c r="E80" s="30" t="s">
        <v>31</v>
      </c>
      <c r="F80" s="30" t="s">
        <v>19</v>
      </c>
      <c r="G80" s="30" t="s">
        <v>20</v>
      </c>
      <c r="H80" s="30" t="s">
        <v>21</v>
      </c>
      <c r="I80" s="30" t="s">
        <v>22</v>
      </c>
      <c r="J80" s="30" t="s">
        <v>23</v>
      </c>
      <c r="K80" s="43" t="s">
        <v>24</v>
      </c>
      <c r="L80" s="44" t="s">
        <v>25</v>
      </c>
      <c r="M80" s="75" t="s">
        <v>53</v>
      </c>
      <c r="O80" s="17">
        <f>sum(C80:M80)</f>
        <v>0</v>
      </c>
    </row>
    <row r="81">
      <c r="A81" s="31" t="s">
        <v>26</v>
      </c>
      <c r="B81" s="33">
        <v>45.0</v>
      </c>
      <c r="C81" s="33">
        <v>11.57</v>
      </c>
      <c r="D81" s="33">
        <v>2.0</v>
      </c>
      <c r="E81" s="33">
        <v>9.0</v>
      </c>
      <c r="F81" s="33">
        <v>7.0</v>
      </c>
      <c r="G81" s="33">
        <v>3.0</v>
      </c>
      <c r="H81" s="33">
        <v>13.0</v>
      </c>
      <c r="I81" s="33">
        <v>8.0</v>
      </c>
      <c r="J81" s="33">
        <v>15.0</v>
      </c>
      <c r="K81" s="73">
        <v>10.0</v>
      </c>
      <c r="L81" s="73">
        <v>54.0</v>
      </c>
      <c r="M81" s="73">
        <v>39.0</v>
      </c>
      <c r="O81" s="17">
        <f t="shared" ref="O81:O85" si="27">sum(B81:M81)</f>
        <v>216.57</v>
      </c>
    </row>
    <row r="82">
      <c r="A82" s="31" t="s">
        <v>27</v>
      </c>
      <c r="B82" s="33">
        <v>73.0</v>
      </c>
      <c r="C82" s="33">
        <v>5.7</v>
      </c>
      <c r="D82" s="33">
        <v>8.0</v>
      </c>
      <c r="E82" s="33">
        <v>8.0</v>
      </c>
      <c r="F82" s="33">
        <v>5.0</v>
      </c>
      <c r="G82" s="33">
        <v>7.0</v>
      </c>
      <c r="H82" s="33">
        <v>8.0</v>
      </c>
      <c r="I82" s="33">
        <v>7.0</v>
      </c>
      <c r="J82" s="33">
        <v>9.0</v>
      </c>
      <c r="K82" s="73">
        <v>2.0</v>
      </c>
      <c r="L82" s="73">
        <v>0.0</v>
      </c>
      <c r="M82" s="73">
        <v>0.0</v>
      </c>
      <c r="O82" s="76">
        <f t="shared" si="27"/>
        <v>132.7</v>
      </c>
    </row>
    <row r="83">
      <c r="A83" s="34" t="s">
        <v>28</v>
      </c>
      <c r="B83" s="46">
        <f t="shared" ref="B83:M83" si="28">SUM(B81:B82)</f>
        <v>118</v>
      </c>
      <c r="C83" s="46">
        <f t="shared" si="28"/>
        <v>17.27</v>
      </c>
      <c r="D83" s="46">
        <f t="shared" si="28"/>
        <v>10</v>
      </c>
      <c r="E83" s="46">
        <f t="shared" si="28"/>
        <v>17</v>
      </c>
      <c r="F83" s="46">
        <f t="shared" si="28"/>
        <v>12</v>
      </c>
      <c r="G83" s="46">
        <f t="shared" si="28"/>
        <v>10</v>
      </c>
      <c r="H83" s="46">
        <f t="shared" si="28"/>
        <v>21</v>
      </c>
      <c r="I83" s="46">
        <f t="shared" si="28"/>
        <v>15</v>
      </c>
      <c r="J83" s="46">
        <f t="shared" si="28"/>
        <v>24</v>
      </c>
      <c r="K83" s="47">
        <f t="shared" si="28"/>
        <v>12</v>
      </c>
      <c r="L83" s="47">
        <f t="shared" si="28"/>
        <v>54</v>
      </c>
      <c r="M83" s="47">
        <f t="shared" si="28"/>
        <v>39</v>
      </c>
      <c r="O83" s="20">
        <f t="shared" si="27"/>
        <v>349.27</v>
      </c>
    </row>
    <row r="84">
      <c r="O84" s="17">
        <f t="shared" si="27"/>
        <v>0</v>
      </c>
    </row>
    <row r="85">
      <c r="A85" s="37">
        <v>45945.0</v>
      </c>
      <c r="B85" s="29"/>
      <c r="C85" s="29"/>
      <c r="D85" s="29"/>
      <c r="E85" s="29"/>
      <c r="F85" s="29"/>
      <c r="G85" s="29"/>
      <c r="H85" s="29"/>
      <c r="I85" s="29"/>
      <c r="J85" s="29"/>
      <c r="K85" s="74"/>
      <c r="L85" s="74"/>
      <c r="O85" s="17">
        <f t="shared" si="27"/>
        <v>0</v>
      </c>
    </row>
    <row r="86">
      <c r="A86" s="30" t="s">
        <v>14</v>
      </c>
      <c r="B86" s="30" t="s">
        <v>29</v>
      </c>
      <c r="C86" s="30" t="s">
        <v>30</v>
      </c>
      <c r="D86" s="30" t="s">
        <v>17</v>
      </c>
      <c r="E86" s="30" t="s">
        <v>31</v>
      </c>
      <c r="F86" s="30" t="s">
        <v>19</v>
      </c>
      <c r="G86" s="30" t="s">
        <v>20</v>
      </c>
      <c r="H86" s="30" t="s">
        <v>21</v>
      </c>
      <c r="I86" s="30" t="s">
        <v>22</v>
      </c>
      <c r="J86" s="30" t="s">
        <v>23</v>
      </c>
      <c r="K86" s="43" t="s">
        <v>24</v>
      </c>
      <c r="L86" s="44" t="s">
        <v>25</v>
      </c>
      <c r="M86" s="75" t="s">
        <v>53</v>
      </c>
      <c r="O86" s="17">
        <f>sum(C86:M86)</f>
        <v>0</v>
      </c>
    </row>
    <row r="87">
      <c r="A87" s="31" t="s">
        <v>26</v>
      </c>
      <c r="B87" s="33">
        <v>32.0</v>
      </c>
      <c r="C87" s="33">
        <v>13.23</v>
      </c>
      <c r="D87" s="33">
        <v>3.0</v>
      </c>
      <c r="E87" s="33">
        <v>8.0</v>
      </c>
      <c r="F87" s="33">
        <v>4.0</v>
      </c>
      <c r="G87" s="33">
        <v>4.0</v>
      </c>
      <c r="H87" s="33">
        <v>15.0</v>
      </c>
      <c r="I87" s="33">
        <v>8.0</v>
      </c>
      <c r="J87" s="33">
        <v>15.0</v>
      </c>
      <c r="K87" s="73">
        <v>9.0</v>
      </c>
      <c r="L87" s="73">
        <v>65.0</v>
      </c>
      <c r="M87" s="73">
        <v>58.0</v>
      </c>
      <c r="O87" s="17">
        <f t="shared" ref="O87:O91" si="29">sum(B87:M87)</f>
        <v>234.23</v>
      </c>
    </row>
    <row r="88">
      <c r="A88" s="31" t="s">
        <v>27</v>
      </c>
      <c r="B88" s="33">
        <v>52.0</v>
      </c>
      <c r="C88" s="33">
        <v>4.42</v>
      </c>
      <c r="D88" s="33">
        <v>0.0</v>
      </c>
      <c r="E88" s="33">
        <v>7.0</v>
      </c>
      <c r="F88" s="33">
        <v>7.0</v>
      </c>
      <c r="G88" s="33">
        <v>9.0</v>
      </c>
      <c r="H88" s="33">
        <v>8.0</v>
      </c>
      <c r="I88" s="33">
        <v>7.0</v>
      </c>
      <c r="J88" s="33">
        <v>9.0</v>
      </c>
      <c r="K88" s="73">
        <v>2.0</v>
      </c>
      <c r="L88" s="73">
        <v>0.0</v>
      </c>
      <c r="M88" s="73">
        <v>0.0</v>
      </c>
      <c r="O88" s="76">
        <f t="shared" si="29"/>
        <v>105.42</v>
      </c>
    </row>
    <row r="89">
      <c r="A89" s="34" t="s">
        <v>28</v>
      </c>
      <c r="B89" s="46">
        <f t="shared" ref="B89:M89" si="30">SUM(B87:B88)</f>
        <v>84</v>
      </c>
      <c r="C89" s="46">
        <f t="shared" si="30"/>
        <v>17.65</v>
      </c>
      <c r="D89" s="46">
        <f t="shared" si="30"/>
        <v>3</v>
      </c>
      <c r="E89" s="46">
        <f t="shared" si="30"/>
        <v>15</v>
      </c>
      <c r="F89" s="46">
        <f t="shared" si="30"/>
        <v>11</v>
      </c>
      <c r="G89" s="46">
        <f t="shared" si="30"/>
        <v>13</v>
      </c>
      <c r="H89" s="46">
        <f t="shared" si="30"/>
        <v>23</v>
      </c>
      <c r="I89" s="46">
        <f t="shared" si="30"/>
        <v>15</v>
      </c>
      <c r="J89" s="46">
        <f t="shared" si="30"/>
        <v>24</v>
      </c>
      <c r="K89" s="47">
        <f t="shared" si="30"/>
        <v>11</v>
      </c>
      <c r="L89" s="47">
        <f t="shared" si="30"/>
        <v>65</v>
      </c>
      <c r="M89" s="47">
        <f t="shared" si="30"/>
        <v>58</v>
      </c>
      <c r="O89" s="20">
        <f t="shared" si="29"/>
        <v>339.65</v>
      </c>
    </row>
    <row r="90">
      <c r="O90" s="17">
        <f t="shared" si="29"/>
        <v>0</v>
      </c>
    </row>
    <row r="91">
      <c r="A91" s="37">
        <v>45946.0</v>
      </c>
      <c r="B91" s="29"/>
      <c r="C91" s="29"/>
      <c r="D91" s="29"/>
      <c r="E91" s="29"/>
      <c r="F91" s="29"/>
      <c r="G91" s="29"/>
      <c r="H91" s="29"/>
      <c r="I91" s="29"/>
      <c r="J91" s="29"/>
      <c r="K91" s="74"/>
      <c r="L91" s="74"/>
      <c r="O91" s="17">
        <f t="shared" si="29"/>
        <v>0</v>
      </c>
    </row>
    <row r="92">
      <c r="A92" s="30" t="s">
        <v>14</v>
      </c>
      <c r="B92" s="30" t="s">
        <v>29</v>
      </c>
      <c r="C92" s="30" t="s">
        <v>30</v>
      </c>
      <c r="D92" s="30" t="s">
        <v>17</v>
      </c>
      <c r="E92" s="30" t="s">
        <v>31</v>
      </c>
      <c r="F92" s="30" t="s">
        <v>19</v>
      </c>
      <c r="G92" s="30" t="s">
        <v>20</v>
      </c>
      <c r="H92" s="30" t="s">
        <v>21</v>
      </c>
      <c r="I92" s="30" t="s">
        <v>22</v>
      </c>
      <c r="J92" s="30" t="s">
        <v>23</v>
      </c>
      <c r="K92" s="43" t="s">
        <v>24</v>
      </c>
      <c r="L92" s="44" t="s">
        <v>25</v>
      </c>
      <c r="M92" s="75" t="s">
        <v>53</v>
      </c>
      <c r="O92" s="17">
        <f>sum(C92:M92)</f>
        <v>0</v>
      </c>
    </row>
    <row r="93">
      <c r="A93" s="31" t="s">
        <v>26</v>
      </c>
      <c r="B93" s="33">
        <v>55.0</v>
      </c>
      <c r="C93" s="33">
        <v>13.42</v>
      </c>
      <c r="D93" s="33">
        <v>2.0</v>
      </c>
      <c r="E93" s="33">
        <v>12.0</v>
      </c>
      <c r="F93" s="33">
        <v>5.0</v>
      </c>
      <c r="G93" s="33">
        <v>5.0</v>
      </c>
      <c r="H93" s="33">
        <v>10.0</v>
      </c>
      <c r="I93" s="33">
        <v>7.0</v>
      </c>
      <c r="J93" s="33">
        <v>13.0</v>
      </c>
      <c r="K93" s="73">
        <v>9.0</v>
      </c>
      <c r="L93" s="73">
        <v>65.0</v>
      </c>
      <c r="M93" s="73">
        <v>35.0</v>
      </c>
      <c r="O93" s="17">
        <f t="shared" ref="O93:O97" si="31">sum(B93:M93)</f>
        <v>231.42</v>
      </c>
    </row>
    <row r="94">
      <c r="A94" s="31" t="s">
        <v>27</v>
      </c>
      <c r="B94" s="33">
        <v>78.0</v>
      </c>
      <c r="C94" s="33">
        <v>5.42</v>
      </c>
      <c r="D94" s="33">
        <v>0.0</v>
      </c>
      <c r="E94" s="33">
        <v>7.0</v>
      </c>
      <c r="F94" s="33">
        <v>3.0</v>
      </c>
      <c r="G94" s="33">
        <v>5.0</v>
      </c>
      <c r="H94" s="33">
        <v>9.0</v>
      </c>
      <c r="I94" s="33">
        <v>6.0</v>
      </c>
      <c r="J94" s="33">
        <v>7.0</v>
      </c>
      <c r="K94" s="73">
        <v>2.0</v>
      </c>
      <c r="L94" s="73">
        <v>0.0</v>
      </c>
      <c r="M94" s="73">
        <v>0.0</v>
      </c>
      <c r="O94" s="76">
        <f t="shared" si="31"/>
        <v>122.42</v>
      </c>
    </row>
    <row r="95">
      <c r="A95" s="34" t="s">
        <v>28</v>
      </c>
      <c r="B95" s="46">
        <f t="shared" ref="B95:M95" si="32">SUM(B93:B94)</f>
        <v>133</v>
      </c>
      <c r="C95" s="46">
        <f t="shared" si="32"/>
        <v>18.84</v>
      </c>
      <c r="D95" s="46">
        <f t="shared" si="32"/>
        <v>2</v>
      </c>
      <c r="E95" s="46">
        <f t="shared" si="32"/>
        <v>19</v>
      </c>
      <c r="F95" s="46">
        <f t="shared" si="32"/>
        <v>8</v>
      </c>
      <c r="G95" s="46">
        <f t="shared" si="32"/>
        <v>10</v>
      </c>
      <c r="H95" s="46">
        <f t="shared" si="32"/>
        <v>19</v>
      </c>
      <c r="I95" s="46">
        <f t="shared" si="32"/>
        <v>13</v>
      </c>
      <c r="J95" s="46">
        <f t="shared" si="32"/>
        <v>20</v>
      </c>
      <c r="K95" s="47">
        <f t="shared" si="32"/>
        <v>11</v>
      </c>
      <c r="L95" s="47">
        <f t="shared" si="32"/>
        <v>65</v>
      </c>
      <c r="M95" s="47">
        <f t="shared" si="32"/>
        <v>35</v>
      </c>
      <c r="O95" s="20">
        <f t="shared" si="31"/>
        <v>353.84</v>
      </c>
    </row>
    <row r="96">
      <c r="O96" s="17">
        <f t="shared" si="31"/>
        <v>0</v>
      </c>
    </row>
    <row r="97">
      <c r="A97" s="37">
        <v>45947.0</v>
      </c>
      <c r="B97" s="29"/>
      <c r="C97" s="29"/>
      <c r="D97" s="29"/>
      <c r="E97" s="29"/>
      <c r="F97" s="29"/>
      <c r="G97" s="29"/>
      <c r="H97" s="29"/>
      <c r="I97" s="29"/>
      <c r="J97" s="29"/>
      <c r="K97" s="74"/>
      <c r="L97" s="74"/>
      <c r="O97" s="17">
        <f t="shared" si="31"/>
        <v>0</v>
      </c>
    </row>
    <row r="98">
      <c r="A98" s="30" t="s">
        <v>14</v>
      </c>
      <c r="B98" s="30" t="s">
        <v>29</v>
      </c>
      <c r="C98" s="30" t="s">
        <v>30</v>
      </c>
      <c r="D98" s="30" t="s">
        <v>17</v>
      </c>
      <c r="E98" s="30" t="s">
        <v>31</v>
      </c>
      <c r="F98" s="30" t="s">
        <v>19</v>
      </c>
      <c r="G98" s="30" t="s">
        <v>20</v>
      </c>
      <c r="H98" s="30" t="s">
        <v>21</v>
      </c>
      <c r="I98" s="30" t="s">
        <v>22</v>
      </c>
      <c r="J98" s="30" t="s">
        <v>23</v>
      </c>
      <c r="K98" s="43" t="s">
        <v>24</v>
      </c>
      <c r="L98" s="44" t="s">
        <v>25</v>
      </c>
      <c r="M98" s="75" t="s">
        <v>53</v>
      </c>
      <c r="O98" s="17">
        <f>sum(C98:M98)</f>
        <v>0</v>
      </c>
    </row>
    <row r="99">
      <c r="A99" s="31" t="s">
        <v>26</v>
      </c>
      <c r="B99" s="33">
        <v>28.0</v>
      </c>
      <c r="C99" s="33">
        <v>16.28</v>
      </c>
      <c r="D99" s="33">
        <v>2.0</v>
      </c>
      <c r="E99" s="33">
        <v>10.0</v>
      </c>
      <c r="F99" s="33">
        <v>8.0</v>
      </c>
      <c r="G99" s="33">
        <v>4.0</v>
      </c>
      <c r="H99" s="33">
        <v>11.0</v>
      </c>
      <c r="I99" s="33">
        <v>10.0</v>
      </c>
      <c r="J99" s="33">
        <v>11.0</v>
      </c>
      <c r="K99" s="73">
        <v>9.0</v>
      </c>
      <c r="L99" s="73">
        <v>0.0</v>
      </c>
      <c r="M99" s="73">
        <v>0.0</v>
      </c>
      <c r="O99" s="17">
        <f t="shared" ref="O99:O103" si="33">sum(B99:M99)</f>
        <v>109.28</v>
      </c>
    </row>
    <row r="100">
      <c r="A100" s="31" t="s">
        <v>27</v>
      </c>
      <c r="B100" s="33">
        <v>50.0</v>
      </c>
      <c r="C100" s="33">
        <v>6.53</v>
      </c>
      <c r="D100" s="33">
        <v>0.0</v>
      </c>
      <c r="E100" s="33">
        <v>9.0</v>
      </c>
      <c r="F100" s="33">
        <v>5.0</v>
      </c>
      <c r="G100" s="33">
        <v>6.0</v>
      </c>
      <c r="H100" s="33">
        <v>7.0</v>
      </c>
      <c r="I100" s="33">
        <v>6.0</v>
      </c>
      <c r="J100" s="33">
        <v>18.0</v>
      </c>
      <c r="K100" s="73">
        <v>2.0</v>
      </c>
      <c r="L100" s="73">
        <v>0.0</v>
      </c>
      <c r="M100" s="73">
        <v>0.0</v>
      </c>
      <c r="O100" s="76">
        <f t="shared" si="33"/>
        <v>109.53</v>
      </c>
    </row>
    <row r="101">
      <c r="A101" s="34" t="s">
        <v>28</v>
      </c>
      <c r="B101" s="46">
        <f t="shared" ref="B101:M101" si="34">SUM(B99:B100)</f>
        <v>78</v>
      </c>
      <c r="C101" s="46">
        <f t="shared" si="34"/>
        <v>22.81</v>
      </c>
      <c r="D101" s="46">
        <f t="shared" si="34"/>
        <v>2</v>
      </c>
      <c r="E101" s="46">
        <f t="shared" si="34"/>
        <v>19</v>
      </c>
      <c r="F101" s="46">
        <f t="shared" si="34"/>
        <v>13</v>
      </c>
      <c r="G101" s="46">
        <f t="shared" si="34"/>
        <v>10</v>
      </c>
      <c r="H101" s="46">
        <f t="shared" si="34"/>
        <v>18</v>
      </c>
      <c r="I101" s="46">
        <f t="shared" si="34"/>
        <v>16</v>
      </c>
      <c r="J101" s="46">
        <f t="shared" si="34"/>
        <v>29</v>
      </c>
      <c r="K101" s="47">
        <f t="shared" si="34"/>
        <v>11</v>
      </c>
      <c r="L101" s="47">
        <f t="shared" si="34"/>
        <v>0</v>
      </c>
      <c r="M101" s="47">
        <f t="shared" si="34"/>
        <v>0</v>
      </c>
      <c r="O101" s="20">
        <f t="shared" si="33"/>
        <v>218.81</v>
      </c>
    </row>
    <row r="102">
      <c r="O102" s="17">
        <f t="shared" si="33"/>
        <v>0</v>
      </c>
    </row>
    <row r="103">
      <c r="A103" s="37">
        <v>45948.0</v>
      </c>
      <c r="B103" s="29"/>
      <c r="C103" s="29"/>
      <c r="D103" s="29"/>
      <c r="E103" s="29"/>
      <c r="F103" s="29"/>
      <c r="G103" s="29"/>
      <c r="H103" s="29"/>
      <c r="I103" s="29"/>
      <c r="J103" s="29"/>
      <c r="K103" s="74"/>
      <c r="L103" s="74"/>
      <c r="O103" s="17">
        <f t="shared" si="33"/>
        <v>0</v>
      </c>
    </row>
    <row r="104">
      <c r="A104" s="30" t="s">
        <v>14</v>
      </c>
      <c r="B104" s="30" t="s">
        <v>29</v>
      </c>
      <c r="C104" s="30" t="s">
        <v>30</v>
      </c>
      <c r="D104" s="30" t="s">
        <v>17</v>
      </c>
      <c r="E104" s="30" t="s">
        <v>31</v>
      </c>
      <c r="F104" s="30" t="s">
        <v>19</v>
      </c>
      <c r="G104" s="30" t="s">
        <v>20</v>
      </c>
      <c r="H104" s="30" t="s">
        <v>21</v>
      </c>
      <c r="I104" s="30" t="s">
        <v>22</v>
      </c>
      <c r="J104" s="30" t="s">
        <v>23</v>
      </c>
      <c r="K104" s="43" t="s">
        <v>24</v>
      </c>
      <c r="L104" s="44" t="s">
        <v>25</v>
      </c>
      <c r="M104" s="75" t="s">
        <v>53</v>
      </c>
      <c r="O104" s="17">
        <f>sum(C104:M104)</f>
        <v>0</v>
      </c>
    </row>
    <row r="105">
      <c r="A105" s="31" t="s">
        <v>26</v>
      </c>
      <c r="B105" s="33">
        <v>0.0</v>
      </c>
      <c r="C105" s="33">
        <v>10.12</v>
      </c>
      <c r="D105" s="33">
        <v>2.0</v>
      </c>
      <c r="E105" s="33">
        <v>3.0</v>
      </c>
      <c r="F105" s="33">
        <v>5.0</v>
      </c>
      <c r="G105" s="33">
        <v>3.0</v>
      </c>
      <c r="H105" s="33">
        <v>12.0</v>
      </c>
      <c r="I105" s="33">
        <v>5.0</v>
      </c>
      <c r="J105" s="33">
        <v>24.0</v>
      </c>
      <c r="K105" s="73">
        <v>2.0</v>
      </c>
      <c r="L105" s="73">
        <v>0.0</v>
      </c>
      <c r="M105" s="73">
        <v>0.0</v>
      </c>
      <c r="O105" s="17">
        <f t="shared" ref="O105:O109" si="35">sum(B105:M105)</f>
        <v>66.12</v>
      </c>
    </row>
    <row r="106">
      <c r="A106" s="31" t="s">
        <v>27</v>
      </c>
      <c r="B106" s="33">
        <v>0.0</v>
      </c>
      <c r="C106" s="33">
        <v>4.33</v>
      </c>
      <c r="D106" s="33">
        <v>0.0</v>
      </c>
      <c r="E106" s="33">
        <v>4.0</v>
      </c>
      <c r="F106" s="33">
        <v>8.0</v>
      </c>
      <c r="G106" s="33">
        <v>4.0</v>
      </c>
      <c r="H106" s="33">
        <v>4.0</v>
      </c>
      <c r="I106" s="33">
        <v>8.0</v>
      </c>
      <c r="J106" s="33">
        <v>18.0</v>
      </c>
      <c r="K106" s="73">
        <v>2.0</v>
      </c>
      <c r="L106" s="73">
        <v>0.0</v>
      </c>
      <c r="M106" s="73">
        <v>0.0</v>
      </c>
      <c r="O106" s="76">
        <f t="shared" si="35"/>
        <v>52.33</v>
      </c>
    </row>
    <row r="107">
      <c r="A107" s="34" t="s">
        <v>28</v>
      </c>
      <c r="B107" s="46">
        <f t="shared" ref="B107:M107" si="36">SUM(B105:B106)</f>
        <v>0</v>
      </c>
      <c r="C107" s="46">
        <f t="shared" si="36"/>
        <v>14.45</v>
      </c>
      <c r="D107" s="46">
        <f t="shared" si="36"/>
        <v>2</v>
      </c>
      <c r="E107" s="46">
        <f t="shared" si="36"/>
        <v>7</v>
      </c>
      <c r="F107" s="46">
        <f t="shared" si="36"/>
        <v>13</v>
      </c>
      <c r="G107" s="46">
        <f t="shared" si="36"/>
        <v>7</v>
      </c>
      <c r="H107" s="46">
        <f t="shared" si="36"/>
        <v>16</v>
      </c>
      <c r="I107" s="46">
        <f t="shared" si="36"/>
        <v>13</v>
      </c>
      <c r="J107" s="46">
        <f t="shared" si="36"/>
        <v>42</v>
      </c>
      <c r="K107" s="47">
        <f t="shared" si="36"/>
        <v>4</v>
      </c>
      <c r="L107" s="47">
        <f t="shared" si="36"/>
        <v>0</v>
      </c>
      <c r="M107" s="47">
        <f t="shared" si="36"/>
        <v>0</v>
      </c>
      <c r="O107" s="20">
        <f t="shared" si="35"/>
        <v>118.45</v>
      </c>
    </row>
    <row r="108">
      <c r="O108" s="17">
        <f t="shared" si="35"/>
        <v>0</v>
      </c>
    </row>
    <row r="109">
      <c r="A109" s="37">
        <v>45949.0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74"/>
      <c r="L109" s="74"/>
      <c r="O109" s="17">
        <f t="shared" si="35"/>
        <v>0</v>
      </c>
    </row>
    <row r="110">
      <c r="A110" s="30" t="s">
        <v>14</v>
      </c>
      <c r="B110" s="30" t="s">
        <v>29</v>
      </c>
      <c r="C110" s="30" t="s">
        <v>30</v>
      </c>
      <c r="D110" s="30" t="s">
        <v>17</v>
      </c>
      <c r="E110" s="30" t="s">
        <v>31</v>
      </c>
      <c r="F110" s="30" t="s">
        <v>19</v>
      </c>
      <c r="G110" s="30" t="s">
        <v>20</v>
      </c>
      <c r="H110" s="30" t="s">
        <v>21</v>
      </c>
      <c r="I110" s="30" t="s">
        <v>22</v>
      </c>
      <c r="J110" s="30" t="s">
        <v>23</v>
      </c>
      <c r="K110" s="43" t="s">
        <v>24</v>
      </c>
      <c r="L110" s="44" t="s">
        <v>25</v>
      </c>
      <c r="M110" s="75" t="s">
        <v>53</v>
      </c>
      <c r="O110" s="17">
        <f>sum(C110:M110)</f>
        <v>0</v>
      </c>
    </row>
    <row r="111">
      <c r="A111" s="31" t="s">
        <v>26</v>
      </c>
      <c r="B111" s="33">
        <v>0.0</v>
      </c>
      <c r="C111" s="33">
        <v>0.0</v>
      </c>
      <c r="D111" s="33">
        <v>2.0</v>
      </c>
      <c r="E111" s="33">
        <v>3.0</v>
      </c>
      <c r="F111" s="33">
        <v>5.0</v>
      </c>
      <c r="G111" s="33">
        <v>2.0</v>
      </c>
      <c r="H111" s="33">
        <v>7.0</v>
      </c>
      <c r="I111" s="33">
        <v>4.0</v>
      </c>
      <c r="J111" s="33">
        <v>22.0</v>
      </c>
      <c r="K111" s="73">
        <v>3.0</v>
      </c>
      <c r="L111" s="73">
        <v>0.0</v>
      </c>
      <c r="M111" s="73">
        <v>0.0</v>
      </c>
      <c r="O111" s="17">
        <f t="shared" ref="O111:O115" si="37">sum(B111:M111)</f>
        <v>48</v>
      </c>
    </row>
    <row r="112">
      <c r="A112" s="31" t="s">
        <v>27</v>
      </c>
      <c r="B112" s="33">
        <v>0.0</v>
      </c>
      <c r="C112" s="33">
        <v>0.0</v>
      </c>
      <c r="D112" s="33">
        <v>0.0</v>
      </c>
      <c r="E112" s="33">
        <v>4.0</v>
      </c>
      <c r="F112" s="33">
        <v>8.0</v>
      </c>
      <c r="G112" s="33">
        <v>7.0</v>
      </c>
      <c r="H112" s="33">
        <v>3.0</v>
      </c>
      <c r="I112" s="33">
        <v>7.0</v>
      </c>
      <c r="J112" s="33">
        <v>10.0</v>
      </c>
      <c r="K112" s="73">
        <v>3.0</v>
      </c>
      <c r="L112" s="73">
        <v>0.0</v>
      </c>
      <c r="M112" s="73">
        <v>0.0</v>
      </c>
      <c r="O112" s="76">
        <f t="shared" si="37"/>
        <v>42</v>
      </c>
    </row>
    <row r="113">
      <c r="A113" s="34" t="s">
        <v>28</v>
      </c>
      <c r="B113" s="46">
        <f t="shared" ref="B113:M113" si="38">SUM(B111:B112)</f>
        <v>0</v>
      </c>
      <c r="C113" s="46">
        <f t="shared" si="38"/>
        <v>0</v>
      </c>
      <c r="D113" s="46">
        <f t="shared" si="38"/>
        <v>2</v>
      </c>
      <c r="E113" s="46">
        <f t="shared" si="38"/>
        <v>7</v>
      </c>
      <c r="F113" s="46">
        <f t="shared" si="38"/>
        <v>13</v>
      </c>
      <c r="G113" s="46">
        <f t="shared" si="38"/>
        <v>9</v>
      </c>
      <c r="H113" s="46">
        <f t="shared" si="38"/>
        <v>10</v>
      </c>
      <c r="I113" s="46">
        <f t="shared" si="38"/>
        <v>11</v>
      </c>
      <c r="J113" s="46">
        <f t="shared" si="38"/>
        <v>32</v>
      </c>
      <c r="K113" s="47">
        <f t="shared" si="38"/>
        <v>6</v>
      </c>
      <c r="L113" s="47">
        <f t="shared" si="38"/>
        <v>0</v>
      </c>
      <c r="M113" s="47">
        <f t="shared" si="38"/>
        <v>0</v>
      </c>
      <c r="O113" s="20">
        <f t="shared" si="37"/>
        <v>90</v>
      </c>
    </row>
    <row r="114">
      <c r="O114" s="17">
        <f t="shared" si="37"/>
        <v>0</v>
      </c>
    </row>
    <row r="115">
      <c r="A115" s="37">
        <v>45950.0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74"/>
      <c r="L115" s="74"/>
      <c r="O115" s="17">
        <f t="shared" si="37"/>
        <v>0</v>
      </c>
    </row>
    <row r="116">
      <c r="A116" s="30" t="s">
        <v>14</v>
      </c>
      <c r="B116" s="30" t="s">
        <v>29</v>
      </c>
      <c r="C116" s="30" t="s">
        <v>30</v>
      </c>
      <c r="D116" s="30" t="s">
        <v>17</v>
      </c>
      <c r="E116" s="30" t="s">
        <v>31</v>
      </c>
      <c r="F116" s="30" t="s">
        <v>19</v>
      </c>
      <c r="G116" s="30" t="s">
        <v>20</v>
      </c>
      <c r="H116" s="30" t="s">
        <v>21</v>
      </c>
      <c r="I116" s="30" t="s">
        <v>22</v>
      </c>
      <c r="J116" s="30" t="s">
        <v>23</v>
      </c>
      <c r="K116" s="43" t="s">
        <v>24</v>
      </c>
      <c r="L116" s="44" t="s">
        <v>25</v>
      </c>
      <c r="M116" s="75" t="s">
        <v>53</v>
      </c>
      <c r="O116" s="17">
        <f>sum(C116:M116)</f>
        <v>0</v>
      </c>
    </row>
    <row r="117">
      <c r="A117" s="31" t="s">
        <v>26</v>
      </c>
      <c r="B117" s="33">
        <v>0.0</v>
      </c>
      <c r="C117" s="33">
        <v>0.0</v>
      </c>
      <c r="D117" s="33">
        <v>0.0</v>
      </c>
      <c r="E117" s="33">
        <v>5.0</v>
      </c>
      <c r="F117" s="33">
        <v>5.0</v>
      </c>
      <c r="G117" s="33">
        <v>4.0</v>
      </c>
      <c r="H117" s="33">
        <v>9.0</v>
      </c>
      <c r="I117" s="33">
        <v>6.0</v>
      </c>
      <c r="J117" s="33">
        <v>11.0</v>
      </c>
      <c r="K117" s="73">
        <v>4.0</v>
      </c>
      <c r="L117" s="73">
        <v>0.0</v>
      </c>
      <c r="M117" s="73">
        <v>0.0</v>
      </c>
      <c r="O117" s="17">
        <f t="shared" ref="O117:O121" si="39">sum(B117:M117)</f>
        <v>44</v>
      </c>
    </row>
    <row r="118">
      <c r="A118" s="31" t="s">
        <v>27</v>
      </c>
      <c r="B118" s="33">
        <v>0.0</v>
      </c>
      <c r="C118" s="33">
        <v>0.0</v>
      </c>
      <c r="D118" s="33">
        <v>0.0</v>
      </c>
      <c r="E118" s="33">
        <v>3.0</v>
      </c>
      <c r="F118" s="33">
        <v>8.0</v>
      </c>
      <c r="G118" s="33">
        <v>8.0</v>
      </c>
      <c r="H118" s="33">
        <v>6.0</v>
      </c>
      <c r="I118" s="33">
        <v>8.0</v>
      </c>
      <c r="J118" s="33">
        <v>7.0</v>
      </c>
      <c r="K118" s="73">
        <v>1.0</v>
      </c>
      <c r="L118" s="73">
        <v>0.0</v>
      </c>
      <c r="M118" s="73">
        <v>0.0</v>
      </c>
      <c r="O118" s="76">
        <f t="shared" si="39"/>
        <v>41</v>
      </c>
    </row>
    <row r="119">
      <c r="A119" s="34" t="s">
        <v>28</v>
      </c>
      <c r="B119" s="46">
        <f t="shared" ref="B119:M119" si="40">SUM(B117:B118)</f>
        <v>0</v>
      </c>
      <c r="C119" s="46">
        <f t="shared" si="40"/>
        <v>0</v>
      </c>
      <c r="D119" s="46">
        <f t="shared" si="40"/>
        <v>0</v>
      </c>
      <c r="E119" s="46">
        <f t="shared" si="40"/>
        <v>8</v>
      </c>
      <c r="F119" s="46">
        <f t="shared" si="40"/>
        <v>13</v>
      </c>
      <c r="G119" s="46">
        <f t="shared" si="40"/>
        <v>12</v>
      </c>
      <c r="H119" s="46">
        <f t="shared" si="40"/>
        <v>15</v>
      </c>
      <c r="I119" s="46">
        <f t="shared" si="40"/>
        <v>14</v>
      </c>
      <c r="J119" s="46">
        <f t="shared" si="40"/>
        <v>18</v>
      </c>
      <c r="K119" s="47">
        <f t="shared" si="40"/>
        <v>5</v>
      </c>
      <c r="L119" s="47">
        <f t="shared" si="40"/>
        <v>0</v>
      </c>
      <c r="M119" s="47">
        <f t="shared" si="40"/>
        <v>0</v>
      </c>
      <c r="O119" s="20">
        <f t="shared" si="39"/>
        <v>85</v>
      </c>
    </row>
    <row r="120">
      <c r="O120" s="17">
        <f t="shared" si="39"/>
        <v>0</v>
      </c>
    </row>
    <row r="121">
      <c r="A121" s="37">
        <v>45951.0</v>
      </c>
      <c r="B121" s="29"/>
      <c r="C121" s="29"/>
      <c r="D121" s="29"/>
      <c r="E121" s="29"/>
      <c r="F121" s="29"/>
      <c r="G121" s="29"/>
      <c r="H121" s="29"/>
      <c r="I121" s="29"/>
      <c r="J121" s="29"/>
      <c r="K121" s="74"/>
      <c r="L121" s="74"/>
      <c r="O121" s="17">
        <f t="shared" si="39"/>
        <v>0</v>
      </c>
    </row>
    <row r="122">
      <c r="A122" s="30" t="s">
        <v>14</v>
      </c>
      <c r="B122" s="30" t="s">
        <v>29</v>
      </c>
      <c r="C122" s="30" t="s">
        <v>30</v>
      </c>
      <c r="D122" s="30" t="s">
        <v>17</v>
      </c>
      <c r="E122" s="30" t="s">
        <v>31</v>
      </c>
      <c r="F122" s="30" t="s">
        <v>19</v>
      </c>
      <c r="G122" s="30" t="s">
        <v>20</v>
      </c>
      <c r="H122" s="30" t="s">
        <v>21</v>
      </c>
      <c r="I122" s="30" t="s">
        <v>22</v>
      </c>
      <c r="J122" s="30" t="s">
        <v>23</v>
      </c>
      <c r="K122" s="43" t="s">
        <v>24</v>
      </c>
      <c r="L122" s="44" t="s">
        <v>25</v>
      </c>
      <c r="M122" s="75" t="s">
        <v>53</v>
      </c>
      <c r="O122" s="17">
        <f>sum(C122:M122)</f>
        <v>0</v>
      </c>
    </row>
    <row r="123">
      <c r="A123" s="31" t="s">
        <v>26</v>
      </c>
      <c r="B123" s="33">
        <v>0.0</v>
      </c>
      <c r="C123" s="33">
        <v>0.0</v>
      </c>
      <c r="D123" s="33">
        <v>0.0</v>
      </c>
      <c r="E123" s="33">
        <v>0.0</v>
      </c>
      <c r="F123" s="33">
        <v>0.0</v>
      </c>
      <c r="G123" s="33">
        <v>6.0</v>
      </c>
      <c r="H123" s="33">
        <v>11.0</v>
      </c>
      <c r="I123" s="33">
        <v>0.0</v>
      </c>
      <c r="J123" s="33">
        <v>0.0</v>
      </c>
      <c r="K123" s="73">
        <v>4.0</v>
      </c>
      <c r="L123" s="73">
        <v>0.0</v>
      </c>
      <c r="M123" s="73">
        <v>0.0</v>
      </c>
      <c r="O123" s="17">
        <f t="shared" ref="O123:O127" si="41">sum(B123:M123)</f>
        <v>21</v>
      </c>
    </row>
    <row r="124">
      <c r="A124" s="31" t="s">
        <v>27</v>
      </c>
      <c r="B124" s="33">
        <v>0.0</v>
      </c>
      <c r="C124" s="33">
        <v>0.0</v>
      </c>
      <c r="D124" s="33">
        <v>0.0</v>
      </c>
      <c r="E124" s="33">
        <v>0.0</v>
      </c>
      <c r="F124" s="33">
        <v>0.0</v>
      </c>
      <c r="G124" s="33">
        <v>3.0</v>
      </c>
      <c r="H124" s="33">
        <v>7.0</v>
      </c>
      <c r="I124" s="33">
        <v>0.0</v>
      </c>
      <c r="J124" s="33">
        <v>0.0</v>
      </c>
      <c r="K124" s="73">
        <v>0.0</v>
      </c>
      <c r="L124" s="73">
        <v>0.0</v>
      </c>
      <c r="M124" s="73">
        <v>0.0</v>
      </c>
      <c r="O124" s="76">
        <f t="shared" si="41"/>
        <v>10</v>
      </c>
    </row>
    <row r="125">
      <c r="A125" s="34" t="s">
        <v>28</v>
      </c>
      <c r="B125" s="46">
        <f t="shared" ref="B125:M125" si="42">SUM(B123:B124)</f>
        <v>0</v>
      </c>
      <c r="C125" s="46">
        <f t="shared" si="42"/>
        <v>0</v>
      </c>
      <c r="D125" s="46">
        <f t="shared" si="42"/>
        <v>0</v>
      </c>
      <c r="E125" s="46">
        <f t="shared" si="42"/>
        <v>0</v>
      </c>
      <c r="F125" s="46">
        <f t="shared" si="42"/>
        <v>0</v>
      </c>
      <c r="G125" s="46">
        <f t="shared" si="42"/>
        <v>9</v>
      </c>
      <c r="H125" s="46">
        <f t="shared" si="42"/>
        <v>18</v>
      </c>
      <c r="I125" s="46">
        <f t="shared" si="42"/>
        <v>0</v>
      </c>
      <c r="J125" s="46">
        <f t="shared" si="42"/>
        <v>0</v>
      </c>
      <c r="K125" s="47">
        <f t="shared" si="42"/>
        <v>4</v>
      </c>
      <c r="L125" s="47">
        <f t="shared" si="42"/>
        <v>0</v>
      </c>
      <c r="M125" s="47">
        <f t="shared" si="42"/>
        <v>0</v>
      </c>
      <c r="O125" s="20">
        <f t="shared" si="41"/>
        <v>31</v>
      </c>
    </row>
    <row r="126">
      <c r="O126" s="17">
        <f t="shared" si="41"/>
        <v>0</v>
      </c>
    </row>
    <row r="127">
      <c r="A127" s="37">
        <v>45952.0</v>
      </c>
      <c r="B127" s="29"/>
      <c r="C127" s="29"/>
      <c r="D127" s="29"/>
      <c r="E127" s="29"/>
      <c r="F127" s="29"/>
      <c r="G127" s="29"/>
      <c r="H127" s="29"/>
      <c r="I127" s="29"/>
      <c r="J127" s="29"/>
      <c r="K127" s="74"/>
      <c r="L127" s="74"/>
      <c r="O127" s="17">
        <f t="shared" si="41"/>
        <v>0</v>
      </c>
    </row>
    <row r="128">
      <c r="A128" s="30" t="s">
        <v>14</v>
      </c>
      <c r="B128" s="30" t="s">
        <v>29</v>
      </c>
      <c r="C128" s="30" t="s">
        <v>30</v>
      </c>
      <c r="D128" s="30" t="s">
        <v>17</v>
      </c>
      <c r="E128" s="30" t="s">
        <v>31</v>
      </c>
      <c r="F128" s="30" t="s">
        <v>19</v>
      </c>
      <c r="G128" s="30" t="s">
        <v>20</v>
      </c>
      <c r="H128" s="30" t="s">
        <v>21</v>
      </c>
      <c r="I128" s="30" t="s">
        <v>22</v>
      </c>
      <c r="J128" s="30" t="s">
        <v>23</v>
      </c>
      <c r="K128" s="43" t="s">
        <v>24</v>
      </c>
      <c r="L128" s="44" t="s">
        <v>25</v>
      </c>
      <c r="M128" s="75" t="s">
        <v>53</v>
      </c>
      <c r="O128" s="17">
        <f>sum(C128:M128)</f>
        <v>0</v>
      </c>
    </row>
    <row r="129">
      <c r="A129" s="31" t="s">
        <v>26</v>
      </c>
      <c r="B129" s="33">
        <v>0.0</v>
      </c>
      <c r="C129" s="33">
        <v>0.0</v>
      </c>
      <c r="D129" s="33">
        <v>0.0</v>
      </c>
      <c r="E129" s="33">
        <v>0.0</v>
      </c>
      <c r="F129" s="33">
        <v>0.0</v>
      </c>
      <c r="G129" s="33">
        <v>2.0</v>
      </c>
      <c r="H129" s="33">
        <v>12.0</v>
      </c>
      <c r="I129" s="33">
        <v>0.0</v>
      </c>
      <c r="J129" s="33">
        <v>0.0</v>
      </c>
      <c r="K129" s="73">
        <v>1.0</v>
      </c>
      <c r="L129" s="73">
        <v>0.0</v>
      </c>
      <c r="M129" s="73">
        <v>0.0</v>
      </c>
      <c r="O129" s="17">
        <f t="shared" ref="O129:O133" si="43">sum(B129:M129)</f>
        <v>15</v>
      </c>
    </row>
    <row r="130">
      <c r="A130" s="31" t="s">
        <v>27</v>
      </c>
      <c r="B130" s="33">
        <v>0.0</v>
      </c>
      <c r="C130" s="33">
        <v>0.0</v>
      </c>
      <c r="D130" s="33">
        <v>0.0</v>
      </c>
      <c r="E130" s="33">
        <v>0.0</v>
      </c>
      <c r="F130" s="33">
        <v>0.0</v>
      </c>
      <c r="G130" s="33">
        <v>4.0</v>
      </c>
      <c r="H130" s="33">
        <v>8.0</v>
      </c>
      <c r="I130" s="33">
        <v>0.0</v>
      </c>
      <c r="J130" s="33">
        <v>0.0</v>
      </c>
      <c r="K130" s="73">
        <v>0.0</v>
      </c>
      <c r="L130" s="73">
        <v>0.0</v>
      </c>
      <c r="M130" s="73">
        <v>0.0</v>
      </c>
      <c r="O130" s="76">
        <f t="shared" si="43"/>
        <v>12</v>
      </c>
    </row>
    <row r="131">
      <c r="A131" s="34" t="s">
        <v>28</v>
      </c>
      <c r="B131" s="46">
        <f t="shared" ref="B131:M131" si="44">SUM(B129:B130)</f>
        <v>0</v>
      </c>
      <c r="C131" s="46">
        <f t="shared" si="44"/>
        <v>0</v>
      </c>
      <c r="D131" s="46">
        <f t="shared" si="44"/>
        <v>0</v>
      </c>
      <c r="E131" s="46">
        <f t="shared" si="44"/>
        <v>0</v>
      </c>
      <c r="F131" s="46">
        <f t="shared" si="44"/>
        <v>0</v>
      </c>
      <c r="G131" s="46">
        <f t="shared" si="44"/>
        <v>6</v>
      </c>
      <c r="H131" s="46">
        <f t="shared" si="44"/>
        <v>20</v>
      </c>
      <c r="I131" s="46">
        <f t="shared" si="44"/>
        <v>0</v>
      </c>
      <c r="J131" s="46">
        <f t="shared" si="44"/>
        <v>0</v>
      </c>
      <c r="K131" s="47">
        <f t="shared" si="44"/>
        <v>1</v>
      </c>
      <c r="L131" s="47">
        <f t="shared" si="44"/>
        <v>0</v>
      </c>
      <c r="M131" s="47">
        <f t="shared" si="44"/>
        <v>0</v>
      </c>
      <c r="O131" s="20">
        <f t="shared" si="43"/>
        <v>27</v>
      </c>
    </row>
    <row r="132">
      <c r="O132" s="17">
        <f t="shared" si="43"/>
        <v>0</v>
      </c>
    </row>
    <row r="133">
      <c r="A133" s="37">
        <v>45953.0</v>
      </c>
      <c r="B133" s="29"/>
      <c r="C133" s="29"/>
      <c r="D133" s="29"/>
      <c r="E133" s="29"/>
      <c r="F133" s="29"/>
      <c r="G133" s="29"/>
      <c r="H133" s="29"/>
      <c r="I133" s="29"/>
      <c r="J133" s="29"/>
      <c r="K133" s="74"/>
      <c r="L133" s="74"/>
      <c r="O133" s="17">
        <f t="shared" si="43"/>
        <v>0</v>
      </c>
    </row>
    <row r="134">
      <c r="A134" s="30" t="s">
        <v>14</v>
      </c>
      <c r="B134" s="30" t="s">
        <v>29</v>
      </c>
      <c r="C134" s="30" t="s">
        <v>30</v>
      </c>
      <c r="D134" s="30" t="s">
        <v>17</v>
      </c>
      <c r="E134" s="30" t="s">
        <v>31</v>
      </c>
      <c r="F134" s="30" t="s">
        <v>19</v>
      </c>
      <c r="G134" s="30" t="s">
        <v>20</v>
      </c>
      <c r="H134" s="30" t="s">
        <v>21</v>
      </c>
      <c r="I134" s="30" t="s">
        <v>22</v>
      </c>
      <c r="J134" s="30" t="s">
        <v>23</v>
      </c>
      <c r="K134" s="43" t="s">
        <v>24</v>
      </c>
      <c r="L134" s="44" t="s">
        <v>25</v>
      </c>
      <c r="M134" s="75" t="s">
        <v>53</v>
      </c>
      <c r="O134" s="17">
        <f>sum(C134:M134)</f>
        <v>0</v>
      </c>
    </row>
    <row r="135">
      <c r="A135" s="31" t="s">
        <v>26</v>
      </c>
      <c r="B135" s="33">
        <v>0.0</v>
      </c>
      <c r="C135" s="33">
        <v>0.0</v>
      </c>
      <c r="D135" s="33">
        <v>0.0</v>
      </c>
      <c r="E135" s="33">
        <v>0.0</v>
      </c>
      <c r="F135" s="33">
        <v>0.0</v>
      </c>
      <c r="G135" s="33">
        <v>2.0</v>
      </c>
      <c r="H135" s="33">
        <v>10.0</v>
      </c>
      <c r="I135" s="33">
        <v>0.0</v>
      </c>
      <c r="J135" s="33">
        <v>0.0</v>
      </c>
      <c r="K135" s="73">
        <v>1.0</v>
      </c>
      <c r="L135" s="73">
        <v>0.0</v>
      </c>
      <c r="M135" s="73">
        <v>0.0</v>
      </c>
      <c r="O135" s="17">
        <f t="shared" ref="O135:O139" si="45">sum(B135:M135)</f>
        <v>13</v>
      </c>
    </row>
    <row r="136">
      <c r="A136" s="31" t="s">
        <v>27</v>
      </c>
      <c r="B136" s="33">
        <v>0.0</v>
      </c>
      <c r="C136" s="33">
        <v>0.0</v>
      </c>
      <c r="D136" s="33">
        <v>0.0</v>
      </c>
      <c r="E136" s="33">
        <v>0.0</v>
      </c>
      <c r="F136" s="33">
        <v>0.0</v>
      </c>
      <c r="G136" s="33">
        <v>0.0</v>
      </c>
      <c r="H136" s="33">
        <v>8.0</v>
      </c>
      <c r="I136" s="33">
        <v>0.0</v>
      </c>
      <c r="J136" s="33">
        <v>0.0</v>
      </c>
      <c r="K136" s="73">
        <v>0.0</v>
      </c>
      <c r="L136" s="73">
        <v>0.0</v>
      </c>
      <c r="M136" s="73">
        <v>0.0</v>
      </c>
      <c r="O136" s="76">
        <f t="shared" si="45"/>
        <v>8</v>
      </c>
    </row>
    <row r="137">
      <c r="A137" s="34" t="s">
        <v>28</v>
      </c>
      <c r="B137" s="46">
        <f t="shared" ref="B137:M137" si="46">SUM(B135:B136)</f>
        <v>0</v>
      </c>
      <c r="C137" s="46">
        <f t="shared" si="46"/>
        <v>0</v>
      </c>
      <c r="D137" s="46">
        <f t="shared" si="46"/>
        <v>0</v>
      </c>
      <c r="E137" s="46">
        <f t="shared" si="46"/>
        <v>0</v>
      </c>
      <c r="F137" s="46">
        <f t="shared" si="46"/>
        <v>0</v>
      </c>
      <c r="G137" s="46">
        <f t="shared" si="46"/>
        <v>2</v>
      </c>
      <c r="H137" s="46">
        <f t="shared" si="46"/>
        <v>18</v>
      </c>
      <c r="I137" s="46">
        <f t="shared" si="46"/>
        <v>0</v>
      </c>
      <c r="J137" s="46">
        <f t="shared" si="46"/>
        <v>0</v>
      </c>
      <c r="K137" s="47">
        <f t="shared" si="46"/>
        <v>1</v>
      </c>
      <c r="L137" s="47">
        <f t="shared" si="46"/>
        <v>0</v>
      </c>
      <c r="M137" s="47">
        <f t="shared" si="46"/>
        <v>0</v>
      </c>
      <c r="O137" s="20">
        <f t="shared" si="45"/>
        <v>21</v>
      </c>
    </row>
    <row r="138">
      <c r="O138" s="17">
        <f t="shared" si="45"/>
        <v>0</v>
      </c>
    </row>
    <row r="139">
      <c r="A139" s="37">
        <v>45954.0</v>
      </c>
      <c r="B139" s="29"/>
      <c r="C139" s="29"/>
      <c r="D139" s="29"/>
      <c r="E139" s="29"/>
      <c r="F139" s="29"/>
      <c r="G139" s="29"/>
      <c r="H139" s="29"/>
      <c r="I139" s="29"/>
      <c r="J139" s="29"/>
      <c r="K139" s="74"/>
      <c r="L139" s="74"/>
      <c r="O139" s="17">
        <f t="shared" si="45"/>
        <v>0</v>
      </c>
    </row>
    <row r="140">
      <c r="A140" s="30" t="s">
        <v>14</v>
      </c>
      <c r="B140" s="30" t="s">
        <v>29</v>
      </c>
      <c r="C140" s="30" t="s">
        <v>30</v>
      </c>
      <c r="D140" s="30" t="s">
        <v>17</v>
      </c>
      <c r="E140" s="30" t="s">
        <v>31</v>
      </c>
      <c r="F140" s="30" t="s">
        <v>19</v>
      </c>
      <c r="G140" s="30" t="s">
        <v>20</v>
      </c>
      <c r="H140" s="30" t="s">
        <v>21</v>
      </c>
      <c r="I140" s="30" t="s">
        <v>22</v>
      </c>
      <c r="J140" s="30" t="s">
        <v>23</v>
      </c>
      <c r="K140" s="43" t="s">
        <v>24</v>
      </c>
      <c r="L140" s="44" t="s">
        <v>25</v>
      </c>
      <c r="M140" s="75" t="s">
        <v>53</v>
      </c>
      <c r="O140" s="17">
        <f>sum(C140:M140)</f>
        <v>0</v>
      </c>
    </row>
    <row r="141">
      <c r="A141" s="31" t="s">
        <v>26</v>
      </c>
      <c r="B141" s="33">
        <v>10.0</v>
      </c>
      <c r="C141" s="33">
        <v>0.0</v>
      </c>
      <c r="D141" s="33">
        <v>0.0</v>
      </c>
      <c r="E141" s="33">
        <v>0.0</v>
      </c>
      <c r="F141" s="33">
        <v>0.0</v>
      </c>
      <c r="G141" s="33">
        <v>1.0</v>
      </c>
      <c r="H141" s="33">
        <v>5.0</v>
      </c>
      <c r="I141" s="33">
        <v>0.0</v>
      </c>
      <c r="J141" s="33">
        <v>0.0</v>
      </c>
      <c r="K141" s="73">
        <v>1.0</v>
      </c>
      <c r="L141" s="73">
        <v>0.0</v>
      </c>
      <c r="M141" s="73">
        <v>0.0</v>
      </c>
      <c r="O141" s="17">
        <f t="shared" ref="O141:O145" si="47">sum(B141:M141)</f>
        <v>17</v>
      </c>
    </row>
    <row r="142">
      <c r="A142" s="31" t="s">
        <v>27</v>
      </c>
      <c r="B142" s="33">
        <v>85.0</v>
      </c>
      <c r="C142" s="33">
        <v>0.0</v>
      </c>
      <c r="D142" s="33">
        <v>0.0</v>
      </c>
      <c r="E142" s="33">
        <v>0.0</v>
      </c>
      <c r="F142" s="33">
        <v>0.0</v>
      </c>
      <c r="G142" s="33">
        <v>0.0</v>
      </c>
      <c r="H142" s="33">
        <v>9.0</v>
      </c>
      <c r="I142" s="33">
        <v>0.0</v>
      </c>
      <c r="J142" s="33">
        <v>0.0</v>
      </c>
      <c r="K142" s="73">
        <v>0.0</v>
      </c>
      <c r="L142" s="73">
        <v>0.0</v>
      </c>
      <c r="M142" s="73">
        <v>0.0</v>
      </c>
      <c r="O142" s="76">
        <f t="shared" si="47"/>
        <v>94</v>
      </c>
    </row>
    <row r="143">
      <c r="A143" s="34" t="s">
        <v>28</v>
      </c>
      <c r="B143" s="46">
        <f t="shared" ref="B143:M143" si="48">SUM(B141:B142)</f>
        <v>95</v>
      </c>
      <c r="C143" s="46">
        <f t="shared" si="48"/>
        <v>0</v>
      </c>
      <c r="D143" s="46">
        <f t="shared" si="48"/>
        <v>0</v>
      </c>
      <c r="E143" s="46">
        <f t="shared" si="48"/>
        <v>0</v>
      </c>
      <c r="F143" s="46">
        <f t="shared" si="48"/>
        <v>0</v>
      </c>
      <c r="G143" s="46">
        <f t="shared" si="48"/>
        <v>1</v>
      </c>
      <c r="H143" s="46">
        <f t="shared" si="48"/>
        <v>14</v>
      </c>
      <c r="I143" s="46">
        <f t="shared" si="48"/>
        <v>0</v>
      </c>
      <c r="J143" s="46">
        <f t="shared" si="48"/>
        <v>0</v>
      </c>
      <c r="K143" s="47">
        <f t="shared" si="48"/>
        <v>1</v>
      </c>
      <c r="L143" s="47">
        <f t="shared" si="48"/>
        <v>0</v>
      </c>
      <c r="M143" s="47">
        <f t="shared" si="48"/>
        <v>0</v>
      </c>
      <c r="O143" s="20">
        <f t="shared" si="47"/>
        <v>111</v>
      </c>
    </row>
    <row r="144">
      <c r="O144" s="17">
        <f t="shared" si="47"/>
        <v>0</v>
      </c>
    </row>
    <row r="145">
      <c r="A145" s="37">
        <v>45955.0</v>
      </c>
      <c r="B145" s="29"/>
      <c r="C145" s="29"/>
      <c r="D145" s="29"/>
      <c r="E145" s="29"/>
      <c r="F145" s="29"/>
      <c r="G145" s="29"/>
      <c r="H145" s="29"/>
      <c r="I145" s="29"/>
      <c r="J145" s="29"/>
      <c r="K145" s="74"/>
      <c r="L145" s="74"/>
      <c r="O145" s="17">
        <f t="shared" si="47"/>
        <v>0</v>
      </c>
    </row>
    <row r="146">
      <c r="A146" s="30" t="s">
        <v>14</v>
      </c>
      <c r="B146" s="30" t="s">
        <v>29</v>
      </c>
      <c r="C146" s="30" t="s">
        <v>30</v>
      </c>
      <c r="D146" s="30" t="s">
        <v>17</v>
      </c>
      <c r="E146" s="30" t="s">
        <v>31</v>
      </c>
      <c r="F146" s="30" t="s">
        <v>19</v>
      </c>
      <c r="G146" s="30" t="s">
        <v>20</v>
      </c>
      <c r="H146" s="30" t="s">
        <v>21</v>
      </c>
      <c r="I146" s="30" t="s">
        <v>22</v>
      </c>
      <c r="J146" s="30" t="s">
        <v>23</v>
      </c>
      <c r="K146" s="43" t="s">
        <v>24</v>
      </c>
      <c r="L146" s="44" t="s">
        <v>25</v>
      </c>
      <c r="M146" s="75" t="s">
        <v>53</v>
      </c>
      <c r="O146" s="17">
        <f>sum(C146:M146)</f>
        <v>0</v>
      </c>
    </row>
    <row r="147">
      <c r="A147" s="31" t="s">
        <v>26</v>
      </c>
      <c r="B147" s="33">
        <v>0.0</v>
      </c>
      <c r="C147" s="33">
        <v>0.0</v>
      </c>
      <c r="D147" s="33">
        <v>0.0</v>
      </c>
      <c r="E147" s="33">
        <v>0.0</v>
      </c>
      <c r="F147" s="33">
        <v>0.0</v>
      </c>
      <c r="G147" s="33">
        <v>2.0</v>
      </c>
      <c r="H147" s="33">
        <v>8.0</v>
      </c>
      <c r="I147" s="33">
        <v>0.0</v>
      </c>
      <c r="J147" s="33">
        <v>0.0</v>
      </c>
      <c r="K147" s="73">
        <v>1.0</v>
      </c>
      <c r="L147" s="73">
        <v>0.0</v>
      </c>
      <c r="M147" s="73">
        <v>0.0</v>
      </c>
      <c r="O147" s="17">
        <f t="shared" ref="O147:O151" si="49">sum(B147:M147)</f>
        <v>11</v>
      </c>
    </row>
    <row r="148">
      <c r="A148" s="31" t="s">
        <v>27</v>
      </c>
      <c r="B148" s="33">
        <v>0.0</v>
      </c>
      <c r="C148" s="33">
        <v>0.0</v>
      </c>
      <c r="D148" s="33">
        <v>0.0</v>
      </c>
      <c r="E148" s="33">
        <v>0.0</v>
      </c>
      <c r="F148" s="33">
        <v>0.0</v>
      </c>
      <c r="G148" s="33">
        <v>0.0</v>
      </c>
      <c r="H148" s="33">
        <v>10.0</v>
      </c>
      <c r="I148" s="33">
        <v>0.0</v>
      </c>
      <c r="J148" s="33">
        <v>0.0</v>
      </c>
      <c r="K148" s="73">
        <v>0.0</v>
      </c>
      <c r="L148" s="73">
        <v>0.0</v>
      </c>
      <c r="M148" s="73">
        <v>0.0</v>
      </c>
      <c r="O148" s="76">
        <f t="shared" si="49"/>
        <v>10</v>
      </c>
    </row>
    <row r="149">
      <c r="A149" s="34" t="s">
        <v>28</v>
      </c>
      <c r="B149" s="46">
        <f t="shared" ref="B149:M149" si="50">SUM(B147:B148)</f>
        <v>0</v>
      </c>
      <c r="C149" s="46">
        <f t="shared" si="50"/>
        <v>0</v>
      </c>
      <c r="D149" s="46">
        <f t="shared" si="50"/>
        <v>0</v>
      </c>
      <c r="E149" s="46">
        <f t="shared" si="50"/>
        <v>0</v>
      </c>
      <c r="F149" s="46">
        <f t="shared" si="50"/>
        <v>0</v>
      </c>
      <c r="G149" s="46">
        <f t="shared" si="50"/>
        <v>2</v>
      </c>
      <c r="H149" s="46">
        <f t="shared" si="50"/>
        <v>18</v>
      </c>
      <c r="I149" s="46">
        <f t="shared" si="50"/>
        <v>0</v>
      </c>
      <c r="J149" s="46">
        <f t="shared" si="50"/>
        <v>0</v>
      </c>
      <c r="K149" s="47">
        <f t="shared" si="50"/>
        <v>1</v>
      </c>
      <c r="L149" s="47">
        <f t="shared" si="50"/>
        <v>0</v>
      </c>
      <c r="M149" s="47">
        <f t="shared" si="50"/>
        <v>0</v>
      </c>
      <c r="O149" s="20">
        <f t="shared" si="49"/>
        <v>21</v>
      </c>
    </row>
    <row r="150">
      <c r="O150" s="17">
        <f t="shared" si="49"/>
        <v>0</v>
      </c>
    </row>
    <row r="151">
      <c r="A151" s="37">
        <v>45956.0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74"/>
      <c r="L151" s="74"/>
      <c r="O151" s="17">
        <f t="shared" si="49"/>
        <v>0</v>
      </c>
    </row>
    <row r="152">
      <c r="A152" s="30" t="s">
        <v>14</v>
      </c>
      <c r="B152" s="30" t="s">
        <v>29</v>
      </c>
      <c r="C152" s="30" t="s">
        <v>30</v>
      </c>
      <c r="D152" s="30" t="s">
        <v>17</v>
      </c>
      <c r="E152" s="30" t="s">
        <v>31</v>
      </c>
      <c r="F152" s="30" t="s">
        <v>19</v>
      </c>
      <c r="G152" s="30" t="s">
        <v>20</v>
      </c>
      <c r="H152" s="30" t="s">
        <v>21</v>
      </c>
      <c r="I152" s="30" t="s">
        <v>22</v>
      </c>
      <c r="J152" s="30" t="s">
        <v>23</v>
      </c>
      <c r="K152" s="43" t="s">
        <v>24</v>
      </c>
      <c r="L152" s="44" t="s">
        <v>25</v>
      </c>
      <c r="M152" s="75" t="s">
        <v>53</v>
      </c>
      <c r="O152" s="17">
        <f>sum(C152:M152)</f>
        <v>0</v>
      </c>
    </row>
    <row r="153">
      <c r="A153" s="31" t="s">
        <v>26</v>
      </c>
      <c r="B153" s="33">
        <v>22.0</v>
      </c>
      <c r="C153" s="33">
        <v>12.15</v>
      </c>
      <c r="D153" s="33">
        <v>0.0</v>
      </c>
      <c r="E153" s="33">
        <v>3.0</v>
      </c>
      <c r="F153" s="33">
        <v>4.0</v>
      </c>
      <c r="G153" s="33">
        <v>2.0</v>
      </c>
      <c r="H153" s="33">
        <v>9.0</v>
      </c>
      <c r="I153" s="33">
        <v>5.0</v>
      </c>
      <c r="J153" s="33">
        <v>10.0</v>
      </c>
      <c r="K153" s="73">
        <v>1.0</v>
      </c>
      <c r="L153" s="73">
        <v>0.0</v>
      </c>
      <c r="M153" s="73">
        <v>0.0</v>
      </c>
      <c r="O153" s="17">
        <f t="shared" ref="O153:O157" si="51">sum(B153:M153)</f>
        <v>68.15</v>
      </c>
    </row>
    <row r="154">
      <c r="A154" s="31" t="s">
        <v>27</v>
      </c>
      <c r="B154" s="33">
        <v>48.0</v>
      </c>
      <c r="C154" s="33">
        <v>4.51</v>
      </c>
      <c r="D154" s="33">
        <v>0.0</v>
      </c>
      <c r="E154" s="33">
        <v>4.0</v>
      </c>
      <c r="F154" s="33">
        <v>5.0</v>
      </c>
      <c r="G154" s="33">
        <v>2.0</v>
      </c>
      <c r="H154" s="33">
        <v>11.0</v>
      </c>
      <c r="I154" s="33">
        <v>3.0</v>
      </c>
      <c r="J154" s="33">
        <v>6.0</v>
      </c>
      <c r="K154" s="73">
        <v>0.0</v>
      </c>
      <c r="L154" s="73">
        <v>0.0</v>
      </c>
      <c r="M154" s="73">
        <v>0.0</v>
      </c>
      <c r="O154" s="76">
        <f t="shared" si="51"/>
        <v>83.51</v>
      </c>
    </row>
    <row r="155">
      <c r="A155" s="34" t="s">
        <v>28</v>
      </c>
      <c r="B155" s="46">
        <f t="shared" ref="B155:M155" si="52">SUM(B153:B154)</f>
        <v>70</v>
      </c>
      <c r="C155" s="46">
        <f t="shared" si="52"/>
        <v>16.66</v>
      </c>
      <c r="D155" s="46">
        <f t="shared" si="52"/>
        <v>0</v>
      </c>
      <c r="E155" s="46">
        <f t="shared" si="52"/>
        <v>7</v>
      </c>
      <c r="F155" s="46">
        <f t="shared" si="52"/>
        <v>9</v>
      </c>
      <c r="G155" s="46">
        <f t="shared" si="52"/>
        <v>4</v>
      </c>
      <c r="H155" s="46">
        <f t="shared" si="52"/>
        <v>20</v>
      </c>
      <c r="I155" s="46">
        <f t="shared" si="52"/>
        <v>8</v>
      </c>
      <c r="J155" s="46">
        <f t="shared" si="52"/>
        <v>16</v>
      </c>
      <c r="K155" s="47">
        <f t="shared" si="52"/>
        <v>1</v>
      </c>
      <c r="L155" s="47">
        <f t="shared" si="52"/>
        <v>0</v>
      </c>
      <c r="M155" s="47">
        <f t="shared" si="52"/>
        <v>0</v>
      </c>
      <c r="O155" s="20">
        <f t="shared" si="51"/>
        <v>151.66</v>
      </c>
    </row>
    <row r="156">
      <c r="O156" s="17">
        <f t="shared" si="51"/>
        <v>0</v>
      </c>
    </row>
    <row r="157">
      <c r="A157" s="37">
        <v>45957.0</v>
      </c>
      <c r="B157" s="29"/>
      <c r="C157" s="29"/>
      <c r="D157" s="29"/>
      <c r="E157" s="29"/>
      <c r="F157" s="29"/>
      <c r="G157" s="29"/>
      <c r="H157" s="29"/>
      <c r="I157" s="29"/>
      <c r="J157" s="29"/>
      <c r="K157" s="74"/>
      <c r="L157" s="74"/>
      <c r="O157" s="17">
        <f t="shared" si="51"/>
        <v>0</v>
      </c>
    </row>
    <row r="158">
      <c r="A158" s="30" t="s">
        <v>14</v>
      </c>
      <c r="B158" s="30" t="s">
        <v>29</v>
      </c>
      <c r="C158" s="30" t="s">
        <v>30</v>
      </c>
      <c r="D158" s="30" t="s">
        <v>17</v>
      </c>
      <c r="E158" s="30" t="s">
        <v>31</v>
      </c>
      <c r="F158" s="30" t="s">
        <v>19</v>
      </c>
      <c r="G158" s="30" t="s">
        <v>20</v>
      </c>
      <c r="H158" s="30" t="s">
        <v>21</v>
      </c>
      <c r="I158" s="30" t="s">
        <v>22</v>
      </c>
      <c r="J158" s="30" t="s">
        <v>23</v>
      </c>
      <c r="K158" s="43" t="s">
        <v>24</v>
      </c>
      <c r="L158" s="44" t="s">
        <v>25</v>
      </c>
      <c r="M158" s="75" t="s">
        <v>53</v>
      </c>
      <c r="O158" s="17">
        <f>sum(C158:M158)</f>
        <v>0</v>
      </c>
    </row>
    <row r="159">
      <c r="A159" s="31" t="s">
        <v>26</v>
      </c>
      <c r="B159" s="33">
        <v>89.0</v>
      </c>
      <c r="C159" s="33">
        <v>10.77</v>
      </c>
      <c r="D159" s="33">
        <v>0.0</v>
      </c>
      <c r="E159" s="33">
        <v>5.0</v>
      </c>
      <c r="F159" s="33">
        <v>6.0</v>
      </c>
      <c r="G159" s="33">
        <v>3.0</v>
      </c>
      <c r="H159" s="33">
        <v>8.0</v>
      </c>
      <c r="I159" s="33">
        <v>13.0</v>
      </c>
      <c r="J159" s="33">
        <v>15.0</v>
      </c>
      <c r="K159" s="73">
        <v>1.0</v>
      </c>
      <c r="L159" s="73">
        <v>29.0</v>
      </c>
      <c r="M159" s="73">
        <v>41.0</v>
      </c>
      <c r="O159" s="17">
        <f t="shared" ref="O159:O163" si="53">sum(B159:M159)</f>
        <v>220.77</v>
      </c>
    </row>
    <row r="160">
      <c r="A160" s="31" t="s">
        <v>27</v>
      </c>
      <c r="B160" s="33">
        <v>62.0</v>
      </c>
      <c r="C160" s="33">
        <v>6.72</v>
      </c>
      <c r="D160" s="33">
        <v>0.0</v>
      </c>
      <c r="E160" s="33">
        <v>6.0</v>
      </c>
      <c r="F160" s="33">
        <v>3.0</v>
      </c>
      <c r="G160" s="33">
        <v>0.0</v>
      </c>
      <c r="H160" s="33">
        <v>11.0</v>
      </c>
      <c r="I160" s="33">
        <v>16.0</v>
      </c>
      <c r="J160" s="33">
        <v>10.0</v>
      </c>
      <c r="K160" s="73">
        <v>0.0</v>
      </c>
      <c r="L160" s="73">
        <v>0.0</v>
      </c>
      <c r="M160" s="73">
        <v>0.0</v>
      </c>
      <c r="O160" s="76">
        <f t="shared" si="53"/>
        <v>114.72</v>
      </c>
    </row>
    <row r="161">
      <c r="A161" s="34" t="s">
        <v>28</v>
      </c>
      <c r="B161" s="46">
        <f t="shared" ref="B161:M161" si="54">SUM(B159:B160)</f>
        <v>151</v>
      </c>
      <c r="C161" s="46">
        <f t="shared" si="54"/>
        <v>17.49</v>
      </c>
      <c r="D161" s="46">
        <f t="shared" si="54"/>
        <v>0</v>
      </c>
      <c r="E161" s="46">
        <f t="shared" si="54"/>
        <v>11</v>
      </c>
      <c r="F161" s="46">
        <f t="shared" si="54"/>
        <v>9</v>
      </c>
      <c r="G161" s="46">
        <f t="shared" si="54"/>
        <v>3</v>
      </c>
      <c r="H161" s="46">
        <f t="shared" si="54"/>
        <v>19</v>
      </c>
      <c r="I161" s="46">
        <f t="shared" si="54"/>
        <v>29</v>
      </c>
      <c r="J161" s="46">
        <f t="shared" si="54"/>
        <v>25</v>
      </c>
      <c r="K161" s="47">
        <f t="shared" si="54"/>
        <v>1</v>
      </c>
      <c r="L161" s="47">
        <f t="shared" si="54"/>
        <v>29</v>
      </c>
      <c r="M161" s="47">
        <f t="shared" si="54"/>
        <v>41</v>
      </c>
      <c r="O161" s="20">
        <f t="shared" si="53"/>
        <v>335.49</v>
      </c>
    </row>
    <row r="162">
      <c r="O162" s="17">
        <f t="shared" si="53"/>
        <v>0</v>
      </c>
    </row>
    <row r="163">
      <c r="A163" s="37">
        <v>45958.0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74"/>
      <c r="L163" s="74"/>
      <c r="O163" s="17">
        <f t="shared" si="53"/>
        <v>0</v>
      </c>
    </row>
    <row r="164">
      <c r="A164" s="30" t="s">
        <v>14</v>
      </c>
      <c r="B164" s="30" t="s">
        <v>29</v>
      </c>
      <c r="C164" s="30" t="s">
        <v>30</v>
      </c>
      <c r="D164" s="30" t="s">
        <v>17</v>
      </c>
      <c r="E164" s="30" t="s">
        <v>31</v>
      </c>
      <c r="F164" s="30" t="s">
        <v>19</v>
      </c>
      <c r="G164" s="30" t="s">
        <v>20</v>
      </c>
      <c r="H164" s="30" t="s">
        <v>21</v>
      </c>
      <c r="I164" s="30" t="s">
        <v>22</v>
      </c>
      <c r="J164" s="30" t="s">
        <v>23</v>
      </c>
      <c r="K164" s="43" t="s">
        <v>24</v>
      </c>
      <c r="L164" s="44" t="s">
        <v>25</v>
      </c>
      <c r="M164" s="75" t="s">
        <v>53</v>
      </c>
      <c r="O164" s="17">
        <f>sum(C164:M164)</f>
        <v>0</v>
      </c>
    </row>
    <row r="165">
      <c r="A165" s="31" t="s">
        <v>26</v>
      </c>
      <c r="B165" s="33">
        <v>45.0</v>
      </c>
      <c r="C165" s="33">
        <v>13.23</v>
      </c>
      <c r="D165" s="33">
        <v>2.0</v>
      </c>
      <c r="E165" s="33">
        <v>10.0</v>
      </c>
      <c r="F165" s="33">
        <v>14.0</v>
      </c>
      <c r="G165" s="33">
        <v>6.0</v>
      </c>
      <c r="H165" s="33">
        <v>11.0</v>
      </c>
      <c r="I165" s="33">
        <v>12.0</v>
      </c>
      <c r="J165" s="33">
        <v>26.0</v>
      </c>
      <c r="K165" s="73">
        <v>2.0</v>
      </c>
      <c r="L165" s="73">
        <v>67.0</v>
      </c>
      <c r="M165" s="73">
        <v>61.0</v>
      </c>
      <c r="O165" s="17">
        <f t="shared" ref="O165:O169" si="55">sum(B165:M165)</f>
        <v>269.23</v>
      </c>
    </row>
    <row r="166">
      <c r="A166" s="31" t="s">
        <v>27</v>
      </c>
      <c r="B166" s="33">
        <v>72.0</v>
      </c>
      <c r="C166" s="33">
        <v>4.54</v>
      </c>
      <c r="D166" s="33">
        <v>0.0</v>
      </c>
      <c r="E166" s="33">
        <v>3.0</v>
      </c>
      <c r="F166" s="33">
        <v>5.0</v>
      </c>
      <c r="G166" s="33">
        <v>1.0</v>
      </c>
      <c r="H166" s="33">
        <v>12.0</v>
      </c>
      <c r="I166" s="33">
        <v>22.0</v>
      </c>
      <c r="J166" s="33">
        <v>14.0</v>
      </c>
      <c r="K166" s="73">
        <v>4.0</v>
      </c>
      <c r="L166" s="73">
        <v>0.0</v>
      </c>
      <c r="M166" s="73">
        <v>0.0</v>
      </c>
      <c r="O166" s="76">
        <f t="shared" si="55"/>
        <v>137.54</v>
      </c>
    </row>
    <row r="167">
      <c r="A167" s="34" t="s">
        <v>28</v>
      </c>
      <c r="B167" s="46">
        <f t="shared" ref="B167:M167" si="56">SUM(B165:B166)</f>
        <v>117</v>
      </c>
      <c r="C167" s="46">
        <f t="shared" si="56"/>
        <v>17.77</v>
      </c>
      <c r="D167" s="46">
        <f t="shared" si="56"/>
        <v>2</v>
      </c>
      <c r="E167" s="46">
        <f t="shared" si="56"/>
        <v>13</v>
      </c>
      <c r="F167" s="46">
        <f t="shared" si="56"/>
        <v>19</v>
      </c>
      <c r="G167" s="46">
        <f t="shared" si="56"/>
        <v>7</v>
      </c>
      <c r="H167" s="46">
        <f t="shared" si="56"/>
        <v>23</v>
      </c>
      <c r="I167" s="46">
        <f t="shared" si="56"/>
        <v>34</v>
      </c>
      <c r="J167" s="46">
        <f t="shared" si="56"/>
        <v>40</v>
      </c>
      <c r="K167" s="47">
        <f t="shared" si="56"/>
        <v>6</v>
      </c>
      <c r="L167" s="47">
        <f t="shared" si="56"/>
        <v>67</v>
      </c>
      <c r="M167" s="47">
        <f t="shared" si="56"/>
        <v>61</v>
      </c>
      <c r="O167" s="20">
        <f t="shared" si="55"/>
        <v>406.77</v>
      </c>
    </row>
    <row r="168">
      <c r="O168" s="17">
        <f t="shared" si="55"/>
        <v>0</v>
      </c>
    </row>
    <row r="169">
      <c r="A169" s="37">
        <v>45959.0</v>
      </c>
      <c r="B169" s="29"/>
      <c r="C169" s="29"/>
      <c r="D169" s="29"/>
      <c r="E169" s="29"/>
      <c r="F169" s="29"/>
      <c r="G169" s="29"/>
      <c r="H169" s="29"/>
      <c r="I169" s="29"/>
      <c r="J169" s="29"/>
      <c r="K169" s="74"/>
      <c r="L169" s="74"/>
      <c r="O169" s="17">
        <f t="shared" si="55"/>
        <v>0</v>
      </c>
    </row>
    <row r="170">
      <c r="A170" s="30" t="s">
        <v>14</v>
      </c>
      <c r="B170" s="30" t="s">
        <v>29</v>
      </c>
      <c r="C170" s="30" t="s">
        <v>30</v>
      </c>
      <c r="D170" s="30" t="s">
        <v>17</v>
      </c>
      <c r="E170" s="30" t="s">
        <v>31</v>
      </c>
      <c r="F170" s="30" t="s">
        <v>19</v>
      </c>
      <c r="G170" s="30" t="s">
        <v>20</v>
      </c>
      <c r="H170" s="30" t="s">
        <v>21</v>
      </c>
      <c r="I170" s="30" t="s">
        <v>22</v>
      </c>
      <c r="J170" s="30" t="s">
        <v>23</v>
      </c>
      <c r="K170" s="43" t="s">
        <v>24</v>
      </c>
      <c r="L170" s="44" t="s">
        <v>25</v>
      </c>
      <c r="M170" s="75" t="s">
        <v>53</v>
      </c>
      <c r="O170" s="17">
        <f>sum(C170:M170)</f>
        <v>0</v>
      </c>
    </row>
    <row r="171">
      <c r="A171" s="31" t="s">
        <v>26</v>
      </c>
      <c r="B171" s="33">
        <v>43.0</v>
      </c>
      <c r="C171" s="33">
        <v>15.63</v>
      </c>
      <c r="D171" s="33">
        <v>3.0</v>
      </c>
      <c r="E171" s="33">
        <v>12.0</v>
      </c>
      <c r="F171" s="33">
        <v>6.0</v>
      </c>
      <c r="G171" s="33">
        <v>7.0</v>
      </c>
      <c r="H171" s="33">
        <v>12.0</v>
      </c>
      <c r="I171" s="33">
        <v>13.0</v>
      </c>
      <c r="J171" s="33">
        <v>15.0</v>
      </c>
      <c r="K171" s="73">
        <v>8.0</v>
      </c>
      <c r="L171" s="73">
        <v>47.0</v>
      </c>
      <c r="M171" s="73">
        <v>80.0</v>
      </c>
      <c r="O171" s="17">
        <f t="shared" ref="O171:O175" si="57">sum(B171:M171)</f>
        <v>261.63</v>
      </c>
    </row>
    <row r="172">
      <c r="A172" s="31" t="s">
        <v>27</v>
      </c>
      <c r="B172" s="33">
        <v>64.0</v>
      </c>
      <c r="C172" s="33">
        <v>5.43</v>
      </c>
      <c r="D172" s="33">
        <v>0.0</v>
      </c>
      <c r="E172" s="33">
        <v>17.0</v>
      </c>
      <c r="F172" s="33">
        <v>3.0</v>
      </c>
      <c r="G172" s="33">
        <v>5.0</v>
      </c>
      <c r="H172" s="33">
        <v>8.0</v>
      </c>
      <c r="I172" s="33">
        <v>16.0</v>
      </c>
      <c r="J172" s="33">
        <v>10.0</v>
      </c>
      <c r="K172" s="73">
        <v>3.0</v>
      </c>
      <c r="L172" s="73">
        <v>0.0</v>
      </c>
      <c r="M172" s="73">
        <v>0.0</v>
      </c>
      <c r="O172" s="76">
        <f t="shared" si="57"/>
        <v>131.43</v>
      </c>
    </row>
    <row r="173">
      <c r="A173" s="34" t="s">
        <v>28</v>
      </c>
      <c r="B173" s="46">
        <f t="shared" ref="B173:M173" si="58">SUM(B171:B172)</f>
        <v>107</v>
      </c>
      <c r="C173" s="46">
        <f t="shared" si="58"/>
        <v>21.06</v>
      </c>
      <c r="D173" s="46">
        <f t="shared" si="58"/>
        <v>3</v>
      </c>
      <c r="E173" s="46">
        <f t="shared" si="58"/>
        <v>29</v>
      </c>
      <c r="F173" s="46">
        <f t="shared" si="58"/>
        <v>9</v>
      </c>
      <c r="G173" s="46">
        <f t="shared" si="58"/>
        <v>12</v>
      </c>
      <c r="H173" s="46">
        <f t="shared" si="58"/>
        <v>20</v>
      </c>
      <c r="I173" s="46">
        <f t="shared" si="58"/>
        <v>29</v>
      </c>
      <c r="J173" s="46">
        <f t="shared" si="58"/>
        <v>25</v>
      </c>
      <c r="K173" s="47">
        <f t="shared" si="58"/>
        <v>11</v>
      </c>
      <c r="L173" s="47">
        <f t="shared" si="58"/>
        <v>47</v>
      </c>
      <c r="M173" s="47">
        <f t="shared" si="58"/>
        <v>80</v>
      </c>
      <c r="O173" s="20">
        <f t="shared" si="57"/>
        <v>393.06</v>
      </c>
    </row>
    <row r="174">
      <c r="O174" s="17">
        <f t="shared" si="57"/>
        <v>0</v>
      </c>
    </row>
    <row r="175">
      <c r="A175" s="37">
        <v>45960.0</v>
      </c>
      <c r="B175" s="29"/>
      <c r="C175" s="29"/>
      <c r="D175" s="29"/>
      <c r="E175" s="29"/>
      <c r="F175" s="29"/>
      <c r="G175" s="29"/>
      <c r="H175" s="29"/>
      <c r="I175" s="29"/>
      <c r="J175" s="29"/>
      <c r="K175" s="74"/>
      <c r="L175" s="74"/>
      <c r="O175" s="17">
        <f t="shared" si="57"/>
        <v>0</v>
      </c>
    </row>
    <row r="176">
      <c r="A176" s="30" t="s">
        <v>14</v>
      </c>
      <c r="B176" s="30" t="s">
        <v>29</v>
      </c>
      <c r="C176" s="30" t="s">
        <v>30</v>
      </c>
      <c r="D176" s="30" t="s">
        <v>17</v>
      </c>
      <c r="E176" s="30" t="s">
        <v>31</v>
      </c>
      <c r="F176" s="30" t="s">
        <v>19</v>
      </c>
      <c r="G176" s="30" t="s">
        <v>20</v>
      </c>
      <c r="H176" s="30" t="s">
        <v>21</v>
      </c>
      <c r="I176" s="30" t="s">
        <v>22</v>
      </c>
      <c r="J176" s="30" t="s">
        <v>23</v>
      </c>
      <c r="K176" s="43" t="s">
        <v>24</v>
      </c>
      <c r="L176" s="44" t="s">
        <v>25</v>
      </c>
      <c r="M176" s="75" t="s">
        <v>53</v>
      </c>
      <c r="O176" s="17">
        <f>sum(C176:M176)</f>
        <v>0</v>
      </c>
    </row>
    <row r="177">
      <c r="A177" s="31" t="s">
        <v>26</v>
      </c>
      <c r="B177" s="33">
        <v>45.0</v>
      </c>
      <c r="C177" s="33">
        <v>16.28</v>
      </c>
      <c r="D177" s="33">
        <v>4.0</v>
      </c>
      <c r="E177" s="33">
        <v>12.0</v>
      </c>
      <c r="F177" s="33">
        <v>9.0</v>
      </c>
      <c r="G177" s="33">
        <v>4.0</v>
      </c>
      <c r="H177" s="33">
        <v>13.0</v>
      </c>
      <c r="I177" s="33">
        <v>13.0</v>
      </c>
      <c r="J177" s="33">
        <v>12.0</v>
      </c>
      <c r="K177" s="73">
        <v>6.0</v>
      </c>
      <c r="L177" s="73">
        <v>50.0</v>
      </c>
      <c r="M177" s="73">
        <v>44.0</v>
      </c>
      <c r="O177" s="17">
        <f t="shared" ref="O177:O181" si="59">sum(B177:M177)</f>
        <v>228.28</v>
      </c>
    </row>
    <row r="178">
      <c r="A178" s="31" t="s">
        <v>27</v>
      </c>
      <c r="B178" s="33">
        <v>57.0</v>
      </c>
      <c r="C178" s="33">
        <v>6.53</v>
      </c>
      <c r="D178" s="33">
        <v>0.0</v>
      </c>
      <c r="E178" s="33">
        <v>15.0</v>
      </c>
      <c r="F178" s="33">
        <v>7.0</v>
      </c>
      <c r="G178" s="33">
        <v>6.0</v>
      </c>
      <c r="H178" s="33">
        <v>9.0</v>
      </c>
      <c r="I178" s="33">
        <v>21.0</v>
      </c>
      <c r="J178" s="33">
        <v>9.0</v>
      </c>
      <c r="K178" s="73">
        <v>5.0</v>
      </c>
      <c r="L178" s="73">
        <v>0.0</v>
      </c>
      <c r="M178" s="73">
        <v>0.0</v>
      </c>
      <c r="O178" s="76">
        <f t="shared" si="59"/>
        <v>135.53</v>
      </c>
    </row>
    <row r="179">
      <c r="A179" s="34" t="s">
        <v>28</v>
      </c>
      <c r="B179" s="46">
        <f t="shared" ref="B179:M179" si="60">SUM(B177:B178)</f>
        <v>102</v>
      </c>
      <c r="C179" s="46">
        <f t="shared" si="60"/>
        <v>22.81</v>
      </c>
      <c r="D179" s="46">
        <f t="shared" si="60"/>
        <v>4</v>
      </c>
      <c r="E179" s="46">
        <f t="shared" si="60"/>
        <v>27</v>
      </c>
      <c r="F179" s="46">
        <f t="shared" si="60"/>
        <v>16</v>
      </c>
      <c r="G179" s="46">
        <f t="shared" si="60"/>
        <v>10</v>
      </c>
      <c r="H179" s="46">
        <f t="shared" si="60"/>
        <v>22</v>
      </c>
      <c r="I179" s="46">
        <f t="shared" si="60"/>
        <v>34</v>
      </c>
      <c r="J179" s="46">
        <f t="shared" si="60"/>
        <v>21</v>
      </c>
      <c r="K179" s="47">
        <f t="shared" si="60"/>
        <v>11</v>
      </c>
      <c r="L179" s="47">
        <f t="shared" si="60"/>
        <v>50</v>
      </c>
      <c r="M179" s="47">
        <f t="shared" si="60"/>
        <v>44</v>
      </c>
      <c r="O179" s="20">
        <f t="shared" si="59"/>
        <v>363.81</v>
      </c>
    </row>
    <row r="180">
      <c r="O180" s="17">
        <f t="shared" si="59"/>
        <v>0</v>
      </c>
    </row>
    <row r="181">
      <c r="A181" s="37">
        <v>45961.0</v>
      </c>
      <c r="B181" s="29"/>
      <c r="C181" s="29"/>
      <c r="D181" s="29"/>
      <c r="E181" s="29"/>
      <c r="F181" s="29"/>
      <c r="G181" s="29"/>
      <c r="H181" s="29"/>
      <c r="I181" s="29"/>
      <c r="J181" s="29"/>
      <c r="K181" s="74"/>
      <c r="L181" s="74"/>
      <c r="O181" s="17">
        <f t="shared" si="59"/>
        <v>0</v>
      </c>
    </row>
    <row r="182">
      <c r="A182" s="30" t="s">
        <v>14</v>
      </c>
      <c r="B182" s="30" t="s">
        <v>29</v>
      </c>
      <c r="C182" s="30" t="s">
        <v>30</v>
      </c>
      <c r="D182" s="30" t="s">
        <v>17</v>
      </c>
      <c r="E182" s="30" t="s">
        <v>31</v>
      </c>
      <c r="F182" s="30" t="s">
        <v>19</v>
      </c>
      <c r="G182" s="30" t="s">
        <v>20</v>
      </c>
      <c r="H182" s="30" t="s">
        <v>21</v>
      </c>
      <c r="I182" s="30" t="s">
        <v>22</v>
      </c>
      <c r="J182" s="30" t="s">
        <v>23</v>
      </c>
      <c r="K182" s="43" t="s">
        <v>24</v>
      </c>
      <c r="L182" s="44" t="s">
        <v>25</v>
      </c>
      <c r="M182" s="75" t="s">
        <v>53</v>
      </c>
      <c r="O182" s="17">
        <f>sum(C182:M182)</f>
        <v>0</v>
      </c>
    </row>
    <row r="183">
      <c r="A183" s="31" t="s">
        <v>26</v>
      </c>
      <c r="B183" s="33">
        <v>48.0</v>
      </c>
      <c r="C183" s="33">
        <v>15.81</v>
      </c>
      <c r="D183" s="33">
        <v>3.0</v>
      </c>
      <c r="E183" s="33">
        <v>13.0</v>
      </c>
      <c r="F183" s="33">
        <v>16.0</v>
      </c>
      <c r="G183" s="33">
        <v>8.0</v>
      </c>
      <c r="H183" s="33">
        <v>14.0</v>
      </c>
      <c r="I183" s="33">
        <v>14.0</v>
      </c>
      <c r="J183" s="33">
        <v>12.0</v>
      </c>
      <c r="K183" s="73">
        <v>8.0</v>
      </c>
      <c r="L183" s="73">
        <v>51.0</v>
      </c>
      <c r="M183" s="73">
        <v>54.0</v>
      </c>
      <c r="O183" s="17">
        <f t="shared" ref="O183:O185" si="61">sum(B183:M183)</f>
        <v>256.81</v>
      </c>
    </row>
    <row r="184">
      <c r="A184" s="31" t="s">
        <v>27</v>
      </c>
      <c r="B184" s="33">
        <v>94.0</v>
      </c>
      <c r="C184" s="33">
        <v>5.74</v>
      </c>
      <c r="D184" s="33">
        <v>0.0</v>
      </c>
      <c r="E184" s="33">
        <v>14.0</v>
      </c>
      <c r="F184" s="33">
        <v>12.0</v>
      </c>
      <c r="G184" s="33">
        <v>7.0</v>
      </c>
      <c r="H184" s="33">
        <v>8.0</v>
      </c>
      <c r="I184" s="33">
        <v>20.0</v>
      </c>
      <c r="J184" s="33">
        <v>11.0</v>
      </c>
      <c r="K184" s="73">
        <v>5.0</v>
      </c>
      <c r="L184" s="73">
        <v>0.0</v>
      </c>
      <c r="M184" s="73">
        <v>0.0</v>
      </c>
      <c r="O184" s="76">
        <f t="shared" si="61"/>
        <v>176.74</v>
      </c>
    </row>
    <row r="185">
      <c r="A185" s="34" t="s">
        <v>28</v>
      </c>
      <c r="B185" s="46">
        <f t="shared" ref="B185:M185" si="62">SUM(B183:B184)</f>
        <v>142</v>
      </c>
      <c r="C185" s="46">
        <f t="shared" si="62"/>
        <v>21.55</v>
      </c>
      <c r="D185" s="46">
        <f t="shared" si="62"/>
        <v>3</v>
      </c>
      <c r="E185" s="46">
        <f t="shared" si="62"/>
        <v>27</v>
      </c>
      <c r="F185" s="46">
        <f t="shared" si="62"/>
        <v>28</v>
      </c>
      <c r="G185" s="46">
        <f t="shared" si="62"/>
        <v>15</v>
      </c>
      <c r="H185" s="46">
        <f t="shared" si="62"/>
        <v>22</v>
      </c>
      <c r="I185" s="46">
        <f t="shared" si="62"/>
        <v>34</v>
      </c>
      <c r="J185" s="46">
        <f t="shared" si="62"/>
        <v>23</v>
      </c>
      <c r="K185" s="47">
        <f t="shared" si="62"/>
        <v>13</v>
      </c>
      <c r="L185" s="47">
        <f t="shared" si="62"/>
        <v>51</v>
      </c>
      <c r="M185" s="47">
        <f t="shared" si="62"/>
        <v>54</v>
      </c>
      <c r="O185" s="20">
        <f t="shared" si="61"/>
        <v>433.55</v>
      </c>
    </row>
    <row r="186">
      <c r="N186" s="38" t="s">
        <v>32</v>
      </c>
      <c r="O186" s="62">
        <f t="shared" ref="O186:O187" si="63">sum(O3+O9+O15+O21+O27+O33+O39+O45+O51+O57+O63+O69+O75+O81+O87+O93+O99+O105+O111+O117+O123+O129+O135+O141+O147+O153+O159+O165+O171+O177+O183)</f>
        <v>4697.54</v>
      </c>
    </row>
    <row r="187">
      <c r="N187" s="39" t="s">
        <v>33</v>
      </c>
      <c r="O187" s="40">
        <f t="shared" si="63"/>
        <v>2606.77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3" width="10.5"/>
    <col customWidth="1" min="4" max="4" width="10.0"/>
    <col customWidth="1" min="5" max="10" width="12.5"/>
    <col customWidth="1" min="11" max="11" width="7.88"/>
    <col customWidth="1" min="12" max="13" width="6.25"/>
  </cols>
  <sheetData>
    <row r="1">
      <c r="C1" s="2"/>
      <c r="D1" s="2"/>
      <c r="G1" s="2"/>
      <c r="H1" s="2"/>
    </row>
    <row r="2">
      <c r="A2" s="37">
        <v>45962.0</v>
      </c>
      <c r="B2" s="29"/>
      <c r="C2" s="29"/>
      <c r="D2" s="29"/>
      <c r="E2" s="29"/>
      <c r="F2" s="29"/>
      <c r="G2" s="29"/>
      <c r="H2" s="29"/>
      <c r="I2" s="29"/>
      <c r="J2" s="29"/>
      <c r="K2" s="74"/>
      <c r="L2" s="74"/>
    </row>
    <row r="3">
      <c r="A3" s="30" t="s">
        <v>14</v>
      </c>
      <c r="B3" s="30" t="s">
        <v>29</v>
      </c>
      <c r="C3" s="30" t="s">
        <v>30</v>
      </c>
      <c r="D3" s="30" t="s">
        <v>17</v>
      </c>
      <c r="E3" s="30" t="s">
        <v>31</v>
      </c>
      <c r="F3" s="30" t="s">
        <v>19</v>
      </c>
      <c r="G3" s="85" t="s">
        <v>20</v>
      </c>
      <c r="H3" s="85" t="s">
        <v>21</v>
      </c>
      <c r="I3" s="30" t="s">
        <v>22</v>
      </c>
      <c r="J3" s="30" t="s">
        <v>23</v>
      </c>
      <c r="K3" s="44" t="s">
        <v>24</v>
      </c>
      <c r="L3" s="44" t="s">
        <v>25</v>
      </c>
      <c r="M3" s="75" t="s">
        <v>53</v>
      </c>
      <c r="O3" s="17">
        <f>sum(C3:M3)</f>
        <v>0</v>
      </c>
    </row>
    <row r="4">
      <c r="A4" s="32" t="s">
        <v>26</v>
      </c>
      <c r="B4" s="33">
        <v>23.0</v>
      </c>
      <c r="C4" s="33">
        <v>11.9</v>
      </c>
      <c r="D4" s="33">
        <v>5.0</v>
      </c>
      <c r="E4" s="33">
        <v>10.0</v>
      </c>
      <c r="F4" s="33">
        <v>11.0</v>
      </c>
      <c r="G4" s="86">
        <v>4.0</v>
      </c>
      <c r="H4" s="86">
        <v>6.0</v>
      </c>
      <c r="I4" s="33">
        <v>12.0</v>
      </c>
      <c r="J4" s="33">
        <v>18.0</v>
      </c>
      <c r="K4" s="73"/>
      <c r="L4" s="73">
        <v>52.0</v>
      </c>
      <c r="M4" s="73">
        <v>0.0</v>
      </c>
      <c r="O4" s="17">
        <f t="shared" ref="O4:O8" si="1">sum(B4:M4)</f>
        <v>152.9</v>
      </c>
    </row>
    <row r="5">
      <c r="A5" s="32" t="s">
        <v>27</v>
      </c>
      <c r="B5" s="33">
        <v>46.0</v>
      </c>
      <c r="C5" s="33">
        <v>3.31</v>
      </c>
      <c r="D5" s="33">
        <v>40.0</v>
      </c>
      <c r="E5" s="33">
        <v>12.0</v>
      </c>
      <c r="F5" s="33">
        <v>8.0</v>
      </c>
      <c r="G5" s="86">
        <v>15.0</v>
      </c>
      <c r="H5" s="86">
        <v>7.0</v>
      </c>
      <c r="I5" s="33">
        <v>17.0</v>
      </c>
      <c r="J5" s="33">
        <v>13.0</v>
      </c>
      <c r="K5" s="73"/>
      <c r="L5" s="73">
        <v>0.0</v>
      </c>
      <c r="M5" s="73">
        <v>0.0</v>
      </c>
      <c r="O5" s="76">
        <f t="shared" si="1"/>
        <v>161.31</v>
      </c>
    </row>
    <row r="6">
      <c r="A6" s="34" t="s">
        <v>28</v>
      </c>
      <c r="B6" s="46">
        <f t="shared" ref="B6:M6" si="2">SUM(B4:B5)</f>
        <v>69</v>
      </c>
      <c r="C6" s="46">
        <f t="shared" si="2"/>
        <v>15.21</v>
      </c>
      <c r="D6" s="46">
        <f t="shared" si="2"/>
        <v>45</v>
      </c>
      <c r="E6" s="46">
        <f t="shared" si="2"/>
        <v>22</v>
      </c>
      <c r="F6" s="46">
        <f t="shared" si="2"/>
        <v>19</v>
      </c>
      <c r="G6" s="87">
        <f t="shared" si="2"/>
        <v>19</v>
      </c>
      <c r="H6" s="87">
        <f t="shared" si="2"/>
        <v>13</v>
      </c>
      <c r="I6" s="46">
        <f t="shared" si="2"/>
        <v>29</v>
      </c>
      <c r="J6" s="46">
        <f t="shared" si="2"/>
        <v>31</v>
      </c>
      <c r="K6" s="47">
        <f t="shared" si="2"/>
        <v>0</v>
      </c>
      <c r="L6" s="47">
        <f t="shared" si="2"/>
        <v>52</v>
      </c>
      <c r="M6" s="47">
        <f t="shared" si="2"/>
        <v>0</v>
      </c>
      <c r="N6" s="20"/>
      <c r="O6" s="20">
        <f t="shared" si="1"/>
        <v>314.21</v>
      </c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C7" s="2"/>
      <c r="D7" s="2"/>
      <c r="G7" s="88"/>
      <c r="H7" s="88"/>
      <c r="O7" s="17">
        <f t="shared" si="1"/>
        <v>0</v>
      </c>
    </row>
    <row r="8">
      <c r="A8" s="89">
        <v>45963.0</v>
      </c>
      <c r="B8" s="29"/>
      <c r="C8" s="29"/>
      <c r="D8" s="29"/>
      <c r="E8" s="29"/>
      <c r="F8" s="29"/>
      <c r="G8" s="88"/>
      <c r="H8" s="88"/>
      <c r="I8" s="29"/>
      <c r="J8" s="29"/>
      <c r="K8" s="74"/>
      <c r="L8" s="74"/>
      <c r="O8" s="17">
        <f t="shared" si="1"/>
        <v>0</v>
      </c>
    </row>
    <row r="9">
      <c r="A9" s="30" t="s">
        <v>14</v>
      </c>
      <c r="B9" s="30" t="s">
        <v>29</v>
      </c>
      <c r="C9" s="30" t="s">
        <v>30</v>
      </c>
      <c r="D9" s="30" t="s">
        <v>17</v>
      </c>
      <c r="E9" s="30" t="s">
        <v>31</v>
      </c>
      <c r="F9" s="30" t="s">
        <v>19</v>
      </c>
      <c r="G9" s="85" t="s">
        <v>20</v>
      </c>
      <c r="H9" s="85" t="s">
        <v>21</v>
      </c>
      <c r="I9" s="30" t="s">
        <v>22</v>
      </c>
      <c r="J9" s="30" t="s">
        <v>23</v>
      </c>
      <c r="K9" s="43" t="s">
        <v>24</v>
      </c>
      <c r="L9" s="44" t="s">
        <v>25</v>
      </c>
      <c r="M9" s="75" t="s">
        <v>53</v>
      </c>
      <c r="O9" s="17">
        <f>sum(C9:M9)</f>
        <v>0</v>
      </c>
    </row>
    <row r="10">
      <c r="A10" s="31" t="s">
        <v>26</v>
      </c>
      <c r="B10" s="33">
        <v>52.0</v>
      </c>
      <c r="C10" s="33">
        <v>18.5</v>
      </c>
      <c r="D10" s="33">
        <v>7.0</v>
      </c>
      <c r="E10" s="33">
        <v>8.0</v>
      </c>
      <c r="F10" s="33">
        <v>20.0</v>
      </c>
      <c r="G10" s="86">
        <v>7.0</v>
      </c>
      <c r="H10" s="86">
        <v>8.0</v>
      </c>
      <c r="I10" s="33">
        <v>20.0</v>
      </c>
      <c r="J10" s="33">
        <v>30.0</v>
      </c>
      <c r="K10" s="73"/>
      <c r="L10" s="73">
        <v>0.0</v>
      </c>
      <c r="M10" s="73">
        <v>52.0</v>
      </c>
      <c r="O10" s="17">
        <f t="shared" ref="O10:O14" si="3">sum(B10:M10)</f>
        <v>222.5</v>
      </c>
    </row>
    <row r="11">
      <c r="A11" s="31" t="s">
        <v>27</v>
      </c>
      <c r="B11" s="33">
        <v>53.0</v>
      </c>
      <c r="C11" s="33">
        <v>4.84</v>
      </c>
      <c r="D11" s="33">
        <v>0.0</v>
      </c>
      <c r="E11" s="33">
        <v>8.0</v>
      </c>
      <c r="F11" s="33">
        <v>9.0</v>
      </c>
      <c r="G11" s="86">
        <v>12.0</v>
      </c>
      <c r="H11" s="86">
        <v>4.0</v>
      </c>
      <c r="I11" s="33">
        <v>5.0</v>
      </c>
      <c r="J11" s="33">
        <v>84.0</v>
      </c>
      <c r="K11" s="73"/>
      <c r="L11" s="73">
        <v>0.0</v>
      </c>
      <c r="M11" s="73">
        <v>0.0</v>
      </c>
      <c r="O11" s="76">
        <f t="shared" si="3"/>
        <v>179.84</v>
      </c>
    </row>
    <row r="12">
      <c r="A12" s="34" t="s">
        <v>28</v>
      </c>
      <c r="B12" s="46">
        <f t="shared" ref="B12:M12" si="4">SUM(B10:B11)</f>
        <v>105</v>
      </c>
      <c r="C12" s="46">
        <f t="shared" si="4"/>
        <v>23.34</v>
      </c>
      <c r="D12" s="46">
        <f t="shared" si="4"/>
        <v>7</v>
      </c>
      <c r="E12" s="46">
        <f t="shared" si="4"/>
        <v>16</v>
      </c>
      <c r="F12" s="46">
        <f t="shared" si="4"/>
        <v>29</v>
      </c>
      <c r="G12" s="46">
        <f t="shared" si="4"/>
        <v>19</v>
      </c>
      <c r="H12" s="46">
        <f t="shared" si="4"/>
        <v>12</v>
      </c>
      <c r="I12" s="46">
        <f t="shared" si="4"/>
        <v>25</v>
      </c>
      <c r="J12" s="46">
        <f t="shared" si="4"/>
        <v>114</v>
      </c>
      <c r="K12" s="47">
        <f t="shared" si="4"/>
        <v>0</v>
      </c>
      <c r="L12" s="47">
        <f t="shared" si="4"/>
        <v>0</v>
      </c>
      <c r="M12" s="47">
        <f t="shared" si="4"/>
        <v>52</v>
      </c>
      <c r="O12" s="20">
        <f t="shared" si="3"/>
        <v>402.34</v>
      </c>
    </row>
    <row r="13">
      <c r="C13" s="2"/>
      <c r="D13" s="2"/>
      <c r="E13" s="2"/>
      <c r="F13" s="2"/>
      <c r="G13" s="88"/>
      <c r="H13" s="88"/>
      <c r="I13" s="2"/>
      <c r="J13" s="2"/>
      <c r="O13" s="17">
        <f t="shared" si="3"/>
        <v>0</v>
      </c>
    </row>
    <row r="14">
      <c r="A14" s="37">
        <v>45964.0</v>
      </c>
      <c r="B14" s="29"/>
      <c r="C14" s="29"/>
      <c r="D14" s="29"/>
      <c r="E14" s="29"/>
      <c r="F14" s="29"/>
      <c r="G14" s="88"/>
      <c r="H14" s="88"/>
      <c r="I14" s="29"/>
      <c r="J14" s="29"/>
      <c r="K14" s="74"/>
      <c r="L14" s="74"/>
      <c r="O14" s="17">
        <f t="shared" si="3"/>
        <v>0</v>
      </c>
    </row>
    <row r="15">
      <c r="A15" s="30" t="s">
        <v>14</v>
      </c>
      <c r="B15" s="30" t="s">
        <v>29</v>
      </c>
      <c r="C15" s="30" t="s">
        <v>30</v>
      </c>
      <c r="D15" s="30" t="s">
        <v>17</v>
      </c>
      <c r="E15" s="30" t="s">
        <v>31</v>
      </c>
      <c r="F15" s="30" t="s">
        <v>19</v>
      </c>
      <c r="G15" s="90" t="s">
        <v>20</v>
      </c>
      <c r="H15" s="90" t="s">
        <v>21</v>
      </c>
      <c r="I15" s="30" t="s">
        <v>22</v>
      </c>
      <c r="J15" s="30" t="s">
        <v>23</v>
      </c>
      <c r="K15" s="43" t="s">
        <v>24</v>
      </c>
      <c r="L15" s="44" t="s">
        <v>25</v>
      </c>
      <c r="M15" s="75" t="s">
        <v>53</v>
      </c>
      <c r="O15" s="17">
        <f>sum(C15:M15)</f>
        <v>0</v>
      </c>
    </row>
    <row r="16">
      <c r="A16" s="31" t="s">
        <v>26</v>
      </c>
      <c r="B16" s="33">
        <v>43.0</v>
      </c>
      <c r="C16" s="33">
        <v>19.312</v>
      </c>
      <c r="D16" s="33">
        <v>6.0</v>
      </c>
      <c r="E16" s="33">
        <v>30.0</v>
      </c>
      <c r="F16" s="33">
        <v>14.0</v>
      </c>
      <c r="G16" s="86">
        <v>7.0</v>
      </c>
      <c r="H16" s="86">
        <v>8.0</v>
      </c>
      <c r="I16" s="33">
        <v>18.0</v>
      </c>
      <c r="J16" s="33">
        <v>25.0</v>
      </c>
      <c r="K16" s="73"/>
      <c r="L16" s="73">
        <v>50.0</v>
      </c>
      <c r="M16" s="73">
        <v>42.0</v>
      </c>
      <c r="O16" s="17">
        <f t="shared" ref="O16:O20" si="5">sum(B16:M16)</f>
        <v>262.312</v>
      </c>
    </row>
    <row r="17">
      <c r="A17" s="31" t="s">
        <v>27</v>
      </c>
      <c r="B17" s="33">
        <v>65.0</v>
      </c>
      <c r="C17" s="33">
        <v>6.13</v>
      </c>
      <c r="D17" s="33">
        <v>0.0</v>
      </c>
      <c r="E17" s="33">
        <v>10.0</v>
      </c>
      <c r="F17" s="33">
        <v>5.0</v>
      </c>
      <c r="G17" s="86">
        <v>11.0</v>
      </c>
      <c r="H17" s="86">
        <v>6.0</v>
      </c>
      <c r="I17" s="33">
        <v>8.0</v>
      </c>
      <c r="J17" s="33">
        <v>11.0</v>
      </c>
      <c r="K17" s="73"/>
      <c r="L17" s="73">
        <v>0.0</v>
      </c>
      <c r="M17" s="73">
        <v>0.0</v>
      </c>
      <c r="O17" s="76">
        <f t="shared" si="5"/>
        <v>122.13</v>
      </c>
    </row>
    <row r="18">
      <c r="A18" s="34" t="s">
        <v>28</v>
      </c>
      <c r="B18" s="46">
        <f t="shared" ref="B18:M18" si="6">SUM(B16:B17)</f>
        <v>108</v>
      </c>
      <c r="C18" s="46">
        <f t="shared" si="6"/>
        <v>25.442</v>
      </c>
      <c r="D18" s="46">
        <f t="shared" si="6"/>
        <v>6</v>
      </c>
      <c r="E18" s="46">
        <f t="shared" si="6"/>
        <v>40</v>
      </c>
      <c r="F18" s="46">
        <f t="shared" si="6"/>
        <v>19</v>
      </c>
      <c r="G18" s="87">
        <f t="shared" si="6"/>
        <v>18</v>
      </c>
      <c r="H18" s="87">
        <f t="shared" si="6"/>
        <v>14</v>
      </c>
      <c r="I18" s="46">
        <f t="shared" si="6"/>
        <v>26</v>
      </c>
      <c r="J18" s="46">
        <f t="shared" si="6"/>
        <v>36</v>
      </c>
      <c r="K18" s="47">
        <f t="shared" si="6"/>
        <v>0</v>
      </c>
      <c r="L18" s="47">
        <f t="shared" si="6"/>
        <v>50</v>
      </c>
      <c r="M18" s="47">
        <f t="shared" si="6"/>
        <v>42</v>
      </c>
      <c r="O18" s="20">
        <f t="shared" si="5"/>
        <v>384.442</v>
      </c>
    </row>
    <row r="19">
      <c r="C19" s="2"/>
      <c r="D19" s="2"/>
      <c r="E19" s="2"/>
      <c r="F19" s="2"/>
      <c r="G19" s="91"/>
      <c r="H19" s="91"/>
      <c r="I19" s="2"/>
      <c r="J19" s="2"/>
      <c r="O19" s="17">
        <f t="shared" si="5"/>
        <v>0</v>
      </c>
    </row>
    <row r="20">
      <c r="A20" s="37">
        <v>45965.0</v>
      </c>
      <c r="B20" s="29"/>
      <c r="C20" s="29"/>
      <c r="D20" s="29"/>
      <c r="E20" s="29"/>
      <c r="F20" s="29"/>
      <c r="G20" s="91"/>
      <c r="H20" s="91"/>
      <c r="I20" s="29"/>
      <c r="J20" s="29"/>
      <c r="K20" s="74"/>
      <c r="L20" s="74"/>
      <c r="O20" s="17">
        <f t="shared" si="5"/>
        <v>0</v>
      </c>
    </row>
    <row r="21">
      <c r="A21" s="30" t="s">
        <v>14</v>
      </c>
      <c r="B21" s="30" t="s">
        <v>29</v>
      </c>
      <c r="C21" s="30" t="s">
        <v>30</v>
      </c>
      <c r="D21" s="30" t="s">
        <v>17</v>
      </c>
      <c r="E21" s="30" t="s">
        <v>31</v>
      </c>
      <c r="F21" s="30" t="s">
        <v>19</v>
      </c>
      <c r="G21" s="90" t="s">
        <v>20</v>
      </c>
      <c r="H21" s="90" t="s">
        <v>21</v>
      </c>
      <c r="I21" s="30" t="s">
        <v>22</v>
      </c>
      <c r="J21" s="30" t="s">
        <v>23</v>
      </c>
      <c r="K21" s="43" t="s">
        <v>24</v>
      </c>
      <c r="L21" s="44" t="s">
        <v>25</v>
      </c>
      <c r="M21" s="75" t="s">
        <v>53</v>
      </c>
      <c r="O21" s="17">
        <f>sum(C21:M21)</f>
        <v>0</v>
      </c>
    </row>
    <row r="22">
      <c r="A22" s="31" t="s">
        <v>26</v>
      </c>
      <c r="B22" s="33">
        <v>40.0</v>
      </c>
      <c r="C22" s="33">
        <v>13.5</v>
      </c>
      <c r="D22" s="33">
        <v>8.0</v>
      </c>
      <c r="E22" s="33">
        <v>23.0</v>
      </c>
      <c r="F22" s="33">
        <v>17.0</v>
      </c>
      <c r="G22" s="86">
        <v>7.0</v>
      </c>
      <c r="H22" s="86">
        <v>7.0</v>
      </c>
      <c r="I22" s="33">
        <v>30.0</v>
      </c>
      <c r="J22" s="33">
        <v>21.0</v>
      </c>
      <c r="K22" s="73"/>
      <c r="L22" s="73">
        <v>67.0</v>
      </c>
      <c r="M22" s="73">
        <v>56.0</v>
      </c>
      <c r="O22" s="17">
        <f t="shared" ref="O22:O26" si="7">sum(B22:M22)</f>
        <v>289.5</v>
      </c>
    </row>
    <row r="23">
      <c r="A23" s="31" t="s">
        <v>27</v>
      </c>
      <c r="B23" s="33">
        <v>73.0</v>
      </c>
      <c r="C23" s="33">
        <v>4.84</v>
      </c>
      <c r="D23" s="33">
        <v>0.0</v>
      </c>
      <c r="E23" s="33">
        <v>11.0</v>
      </c>
      <c r="F23" s="33">
        <v>7.0</v>
      </c>
      <c r="G23" s="86">
        <v>12.0</v>
      </c>
      <c r="H23" s="86">
        <v>4.0</v>
      </c>
      <c r="I23" s="33">
        <v>10.0</v>
      </c>
      <c r="J23" s="33">
        <v>13.0</v>
      </c>
      <c r="K23" s="73"/>
      <c r="L23" s="73">
        <v>0.0</v>
      </c>
      <c r="M23" s="73">
        <v>0.0</v>
      </c>
      <c r="O23" s="76">
        <f t="shared" si="7"/>
        <v>134.84</v>
      </c>
    </row>
    <row r="24">
      <c r="A24" s="34" t="s">
        <v>28</v>
      </c>
      <c r="B24" s="46">
        <f t="shared" ref="B24:M24" si="8">SUM(B22:B23)</f>
        <v>113</v>
      </c>
      <c r="C24" s="46">
        <f t="shared" si="8"/>
        <v>18.34</v>
      </c>
      <c r="D24" s="46">
        <f t="shared" si="8"/>
        <v>8</v>
      </c>
      <c r="E24" s="46">
        <f t="shared" si="8"/>
        <v>34</v>
      </c>
      <c r="F24" s="46">
        <f t="shared" si="8"/>
        <v>24</v>
      </c>
      <c r="G24" s="46">
        <f t="shared" si="8"/>
        <v>19</v>
      </c>
      <c r="H24" s="46">
        <f t="shared" si="8"/>
        <v>11</v>
      </c>
      <c r="I24" s="46">
        <f t="shared" si="8"/>
        <v>40</v>
      </c>
      <c r="J24" s="46">
        <f t="shared" si="8"/>
        <v>34</v>
      </c>
      <c r="K24" s="47">
        <f t="shared" si="8"/>
        <v>0</v>
      </c>
      <c r="L24" s="47">
        <f t="shared" si="8"/>
        <v>67</v>
      </c>
      <c r="M24" s="47">
        <f t="shared" si="8"/>
        <v>56</v>
      </c>
      <c r="O24" s="20">
        <f t="shared" si="7"/>
        <v>424.34</v>
      </c>
    </row>
    <row r="25">
      <c r="C25" s="2"/>
      <c r="D25" s="2"/>
      <c r="E25" s="2"/>
      <c r="F25" s="2"/>
      <c r="G25" s="91"/>
      <c r="H25" s="91"/>
      <c r="I25" s="2"/>
      <c r="J25" s="2"/>
      <c r="O25" s="17">
        <f t="shared" si="7"/>
        <v>0</v>
      </c>
    </row>
    <row r="26">
      <c r="A26" s="37">
        <v>45966.0</v>
      </c>
      <c r="B26" s="29"/>
      <c r="C26" s="29"/>
      <c r="D26" s="29"/>
      <c r="E26" s="29"/>
      <c r="F26" s="29"/>
      <c r="G26" s="91"/>
      <c r="H26" s="91"/>
      <c r="I26" s="29"/>
      <c r="J26" s="29"/>
      <c r="K26" s="74"/>
      <c r="L26" s="74"/>
      <c r="O26" s="17">
        <f t="shared" si="7"/>
        <v>0</v>
      </c>
    </row>
    <row r="27">
      <c r="A27" s="30" t="s">
        <v>14</v>
      </c>
      <c r="B27" s="30" t="s">
        <v>29</v>
      </c>
      <c r="C27" s="30" t="s">
        <v>30</v>
      </c>
      <c r="D27" s="30" t="s">
        <v>17</v>
      </c>
      <c r="E27" s="30" t="s">
        <v>31</v>
      </c>
      <c r="F27" s="30" t="s">
        <v>19</v>
      </c>
      <c r="G27" s="92" t="s">
        <v>20</v>
      </c>
      <c r="H27" s="92" t="s">
        <v>21</v>
      </c>
      <c r="I27" s="30" t="s">
        <v>22</v>
      </c>
      <c r="J27" s="30" t="s">
        <v>23</v>
      </c>
      <c r="K27" s="43" t="s">
        <v>24</v>
      </c>
      <c r="L27" s="44" t="s">
        <v>25</v>
      </c>
      <c r="M27" s="75" t="s">
        <v>53</v>
      </c>
      <c r="O27" s="17">
        <f>sum(C27:M27)</f>
        <v>0</v>
      </c>
    </row>
    <row r="28">
      <c r="A28" s="31" t="s">
        <v>26</v>
      </c>
      <c r="B28" s="33">
        <v>41.0</v>
      </c>
      <c r="C28" s="33">
        <v>11.31</v>
      </c>
      <c r="D28" s="33">
        <v>8.0</v>
      </c>
      <c r="E28" s="33">
        <v>19.0</v>
      </c>
      <c r="F28" s="33">
        <v>15.0</v>
      </c>
      <c r="G28" s="86">
        <v>6.0</v>
      </c>
      <c r="H28" s="86">
        <v>11.0</v>
      </c>
      <c r="I28" s="33">
        <v>23.0</v>
      </c>
      <c r="J28" s="33">
        <v>29.0</v>
      </c>
      <c r="K28" s="73"/>
      <c r="L28" s="73">
        <v>47.0</v>
      </c>
      <c r="M28" s="73">
        <v>51.0</v>
      </c>
      <c r="O28" s="17">
        <f t="shared" ref="O28:O32" si="9">sum(B28:M28)</f>
        <v>261.31</v>
      </c>
    </row>
    <row r="29">
      <c r="A29" s="31" t="s">
        <v>27</v>
      </c>
      <c r="B29" s="33">
        <v>66.0</v>
      </c>
      <c r="C29" s="33">
        <v>5.12</v>
      </c>
      <c r="D29" s="33">
        <v>59.0</v>
      </c>
      <c r="E29" s="33">
        <v>10.0</v>
      </c>
      <c r="F29" s="33">
        <v>12.0</v>
      </c>
      <c r="G29" s="86">
        <v>15.0</v>
      </c>
      <c r="H29" s="86">
        <v>3.0</v>
      </c>
      <c r="I29" s="33">
        <v>20.0</v>
      </c>
      <c r="J29" s="33">
        <v>12.0</v>
      </c>
      <c r="K29" s="73"/>
      <c r="L29" s="73">
        <v>0.0</v>
      </c>
      <c r="M29" s="73">
        <v>0.0</v>
      </c>
      <c r="O29" s="76">
        <f t="shared" si="9"/>
        <v>202.12</v>
      </c>
    </row>
    <row r="30">
      <c r="A30" s="34" t="s">
        <v>28</v>
      </c>
      <c r="B30" s="46">
        <f t="shared" ref="B30:M30" si="10">SUM(B28:B29)</f>
        <v>107</v>
      </c>
      <c r="C30" s="46">
        <f t="shared" si="10"/>
        <v>16.43</v>
      </c>
      <c r="D30" s="46">
        <f t="shared" si="10"/>
        <v>67</v>
      </c>
      <c r="E30" s="46">
        <f t="shared" si="10"/>
        <v>29</v>
      </c>
      <c r="F30" s="46">
        <f t="shared" si="10"/>
        <v>27</v>
      </c>
      <c r="G30" s="46">
        <f t="shared" si="10"/>
        <v>21</v>
      </c>
      <c r="H30" s="46">
        <f t="shared" si="10"/>
        <v>14</v>
      </c>
      <c r="I30" s="46">
        <f t="shared" si="10"/>
        <v>43</v>
      </c>
      <c r="J30" s="46">
        <f t="shared" si="10"/>
        <v>41</v>
      </c>
      <c r="K30" s="47">
        <f t="shared" si="10"/>
        <v>0</v>
      </c>
      <c r="L30" s="47">
        <f t="shared" si="10"/>
        <v>47</v>
      </c>
      <c r="M30" s="47">
        <f t="shared" si="10"/>
        <v>51</v>
      </c>
      <c r="O30" s="20">
        <f t="shared" si="9"/>
        <v>463.43</v>
      </c>
    </row>
    <row r="31">
      <c r="C31" s="2"/>
      <c r="D31" s="2"/>
      <c r="E31" s="2"/>
      <c r="F31" s="2"/>
      <c r="G31" s="91"/>
      <c r="H31" s="91"/>
      <c r="I31" s="2"/>
      <c r="J31" s="2"/>
      <c r="O31" s="17">
        <f t="shared" si="9"/>
        <v>0</v>
      </c>
    </row>
    <row r="32">
      <c r="A32" s="80">
        <v>45967.0</v>
      </c>
      <c r="B32" s="50"/>
      <c r="C32" s="74"/>
      <c r="D32" s="74"/>
      <c r="E32" s="29"/>
      <c r="F32" s="29"/>
      <c r="G32" s="91"/>
      <c r="H32" s="91"/>
      <c r="I32" s="29"/>
      <c r="J32" s="29"/>
      <c r="K32" s="50"/>
      <c r="L32" s="50"/>
      <c r="M32" s="50"/>
      <c r="N32" s="50"/>
      <c r="O32" s="17">
        <f t="shared" si="9"/>
        <v>0</v>
      </c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>
      <c r="A33" s="81" t="s">
        <v>14</v>
      </c>
      <c r="B33" s="81" t="s">
        <v>29</v>
      </c>
      <c r="C33" s="81" t="s">
        <v>30</v>
      </c>
      <c r="D33" s="81" t="s">
        <v>17</v>
      </c>
      <c r="E33" s="30" t="s">
        <v>31</v>
      </c>
      <c r="F33" s="30" t="s">
        <v>19</v>
      </c>
      <c r="G33" s="92" t="s">
        <v>20</v>
      </c>
      <c r="H33" s="92" t="s">
        <v>21</v>
      </c>
      <c r="I33" s="30" t="s">
        <v>22</v>
      </c>
      <c r="J33" s="30" t="s">
        <v>23</v>
      </c>
      <c r="K33" s="93" t="s">
        <v>24</v>
      </c>
      <c r="L33" s="81" t="s">
        <v>25</v>
      </c>
      <c r="M33" s="94" t="s">
        <v>53</v>
      </c>
      <c r="N33" s="50"/>
      <c r="O33" s="17">
        <f>sum(C33:M33)</f>
        <v>0</v>
      </c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>
      <c r="A34" s="82" t="s">
        <v>26</v>
      </c>
      <c r="B34" s="60">
        <v>55.0</v>
      </c>
      <c r="C34" s="73">
        <v>14.36</v>
      </c>
      <c r="D34" s="73">
        <v>9.0</v>
      </c>
      <c r="E34" s="33">
        <v>25.0</v>
      </c>
      <c r="F34" s="33">
        <v>16.0</v>
      </c>
      <c r="G34" s="86">
        <v>8.0</v>
      </c>
      <c r="H34" s="86">
        <v>5.0</v>
      </c>
      <c r="I34" s="33">
        <v>24.0</v>
      </c>
      <c r="J34" s="33">
        <v>26.0</v>
      </c>
      <c r="K34" s="95"/>
      <c r="L34" s="60">
        <v>48.0</v>
      </c>
      <c r="M34" s="60">
        <v>42.0</v>
      </c>
      <c r="N34" s="50"/>
      <c r="O34" s="17">
        <f t="shared" ref="O34:O38" si="11">sum(B34:M34)</f>
        <v>272.36</v>
      </c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>
      <c r="A35" s="82" t="s">
        <v>27</v>
      </c>
      <c r="B35" s="60">
        <v>81.0</v>
      </c>
      <c r="C35" s="73">
        <v>4.91</v>
      </c>
      <c r="D35" s="73">
        <v>0.0</v>
      </c>
      <c r="E35" s="33">
        <v>15.0</v>
      </c>
      <c r="F35" s="33">
        <v>6.0</v>
      </c>
      <c r="G35" s="86">
        <v>16.0</v>
      </c>
      <c r="H35" s="86">
        <v>5.0</v>
      </c>
      <c r="I35" s="33">
        <v>18.0</v>
      </c>
      <c r="J35" s="33">
        <v>7.0</v>
      </c>
      <c r="K35" s="95"/>
      <c r="L35" s="60">
        <v>0.0</v>
      </c>
      <c r="M35" s="60">
        <v>0.0</v>
      </c>
      <c r="N35" s="50"/>
      <c r="O35" s="76">
        <f t="shared" si="11"/>
        <v>152.91</v>
      </c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>
      <c r="A36" s="83" t="s">
        <v>28</v>
      </c>
      <c r="B36" s="84">
        <f t="shared" ref="B36:M36" si="12">SUM(B34:B35)</f>
        <v>136</v>
      </c>
      <c r="C36" s="84">
        <f t="shared" si="12"/>
        <v>19.27</v>
      </c>
      <c r="D36" s="84">
        <f t="shared" si="12"/>
        <v>9</v>
      </c>
      <c r="E36" s="46">
        <f t="shared" si="12"/>
        <v>40</v>
      </c>
      <c r="F36" s="46">
        <f t="shared" si="12"/>
        <v>22</v>
      </c>
      <c r="G36" s="46">
        <f t="shared" si="12"/>
        <v>24</v>
      </c>
      <c r="H36" s="46">
        <f t="shared" si="12"/>
        <v>10</v>
      </c>
      <c r="I36" s="46">
        <f t="shared" si="12"/>
        <v>42</v>
      </c>
      <c r="J36" s="46">
        <f t="shared" si="12"/>
        <v>33</v>
      </c>
      <c r="K36" s="83">
        <f t="shared" si="12"/>
        <v>0</v>
      </c>
      <c r="L36" s="83">
        <f t="shared" si="12"/>
        <v>48</v>
      </c>
      <c r="M36" s="83">
        <f t="shared" si="12"/>
        <v>42</v>
      </c>
      <c r="N36" s="50"/>
      <c r="O36" s="20">
        <f t="shared" si="11"/>
        <v>425.27</v>
      </c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>
      <c r="C37" s="2"/>
      <c r="D37" s="2"/>
      <c r="E37" s="2"/>
      <c r="F37" s="2"/>
      <c r="G37" s="91"/>
      <c r="H37" s="91"/>
      <c r="I37" s="2"/>
      <c r="J37" s="2"/>
      <c r="O37" s="17">
        <f t="shared" si="11"/>
        <v>0</v>
      </c>
    </row>
    <row r="38">
      <c r="A38" s="80">
        <v>45968.0</v>
      </c>
      <c r="B38" s="50"/>
      <c r="C38" s="74"/>
      <c r="D38" s="74"/>
      <c r="E38" s="29"/>
      <c r="F38" s="29"/>
      <c r="G38" s="91"/>
      <c r="H38" s="91"/>
      <c r="I38" s="29"/>
      <c r="J38" s="29"/>
      <c r="K38" s="50"/>
      <c r="L38" s="50"/>
      <c r="M38" s="50"/>
      <c r="N38" s="50"/>
      <c r="O38" s="17">
        <f t="shared" si="11"/>
        <v>0</v>
      </c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>
      <c r="A39" s="81" t="s">
        <v>14</v>
      </c>
      <c r="B39" s="81" t="s">
        <v>29</v>
      </c>
      <c r="C39" s="81" t="s">
        <v>30</v>
      </c>
      <c r="D39" s="81" t="s">
        <v>17</v>
      </c>
      <c r="E39" s="30" t="s">
        <v>31</v>
      </c>
      <c r="F39" s="30" t="s">
        <v>19</v>
      </c>
      <c r="G39" s="92" t="s">
        <v>20</v>
      </c>
      <c r="H39" s="92" t="s">
        <v>21</v>
      </c>
      <c r="I39" s="30" t="s">
        <v>22</v>
      </c>
      <c r="J39" s="30" t="s">
        <v>23</v>
      </c>
      <c r="K39" s="93" t="s">
        <v>24</v>
      </c>
      <c r="L39" s="81" t="s">
        <v>25</v>
      </c>
      <c r="M39" s="94" t="s">
        <v>53</v>
      </c>
      <c r="N39" s="50"/>
      <c r="O39" s="17">
        <f>sum(C39:M39)</f>
        <v>0</v>
      </c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>
      <c r="A40" s="82" t="s">
        <v>26</v>
      </c>
      <c r="B40" s="60">
        <v>43.0</v>
      </c>
      <c r="C40" s="73">
        <v>15.417</v>
      </c>
      <c r="D40" s="73">
        <v>8.0</v>
      </c>
      <c r="E40" s="33">
        <v>11.0</v>
      </c>
      <c r="F40" s="33">
        <v>10.0</v>
      </c>
      <c r="G40" s="86">
        <v>10.0</v>
      </c>
      <c r="H40" s="86">
        <v>5.0</v>
      </c>
      <c r="I40" s="33">
        <v>28.0</v>
      </c>
      <c r="J40" s="33">
        <v>23.0</v>
      </c>
      <c r="K40" s="95"/>
      <c r="L40" s="60">
        <v>54.0</v>
      </c>
      <c r="M40" s="60">
        <v>0.0</v>
      </c>
      <c r="N40" s="50"/>
      <c r="O40" s="17">
        <f t="shared" ref="O40:O44" si="13">sum(B40:M40)</f>
        <v>207.417</v>
      </c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>
      <c r="A41" s="82" t="s">
        <v>27</v>
      </c>
      <c r="B41" s="60">
        <v>73.0</v>
      </c>
      <c r="C41" s="73">
        <v>4.91</v>
      </c>
      <c r="D41" s="73">
        <v>0.0</v>
      </c>
      <c r="E41" s="33">
        <v>4.0</v>
      </c>
      <c r="F41" s="33">
        <v>5.0</v>
      </c>
      <c r="G41" s="86">
        <v>14.0</v>
      </c>
      <c r="H41" s="86">
        <v>4.0</v>
      </c>
      <c r="I41" s="33">
        <v>12.0</v>
      </c>
      <c r="J41" s="33">
        <v>9.0</v>
      </c>
      <c r="K41" s="95"/>
      <c r="L41" s="60">
        <v>0.0</v>
      </c>
      <c r="M41" s="60">
        <v>0.0</v>
      </c>
      <c r="N41" s="50"/>
      <c r="O41" s="76">
        <f t="shared" si="13"/>
        <v>125.91</v>
      </c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>
      <c r="A42" s="83" t="s">
        <v>28</v>
      </c>
      <c r="B42" s="84">
        <f t="shared" ref="B42:M42" si="14">SUM(B40:B41)</f>
        <v>116</v>
      </c>
      <c r="C42" s="84">
        <f t="shared" si="14"/>
        <v>20.327</v>
      </c>
      <c r="D42" s="84">
        <f t="shared" si="14"/>
        <v>8</v>
      </c>
      <c r="E42" s="46">
        <f t="shared" si="14"/>
        <v>15</v>
      </c>
      <c r="F42" s="46">
        <f t="shared" si="14"/>
        <v>15</v>
      </c>
      <c r="G42" s="46">
        <f t="shared" si="14"/>
        <v>24</v>
      </c>
      <c r="H42" s="46">
        <f t="shared" si="14"/>
        <v>9</v>
      </c>
      <c r="I42" s="46">
        <f t="shared" si="14"/>
        <v>40</v>
      </c>
      <c r="J42" s="46">
        <f t="shared" si="14"/>
        <v>32</v>
      </c>
      <c r="K42" s="83">
        <f t="shared" si="14"/>
        <v>0</v>
      </c>
      <c r="L42" s="83">
        <f t="shared" si="14"/>
        <v>54</v>
      </c>
      <c r="M42" s="83">
        <f t="shared" si="14"/>
        <v>0</v>
      </c>
      <c r="N42" s="50"/>
      <c r="O42" s="20">
        <f t="shared" si="13"/>
        <v>333.327</v>
      </c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>
      <c r="C43" s="2"/>
      <c r="D43" s="2"/>
      <c r="E43" s="2"/>
      <c r="F43" s="2"/>
      <c r="G43" s="91"/>
      <c r="H43" s="91"/>
      <c r="I43" s="2"/>
      <c r="J43" s="2"/>
      <c r="O43" s="17">
        <f t="shared" si="13"/>
        <v>0</v>
      </c>
    </row>
    <row r="44">
      <c r="A44" s="80">
        <v>45969.0</v>
      </c>
      <c r="B44" s="50"/>
      <c r="C44" s="74"/>
      <c r="D44" s="74"/>
      <c r="E44" s="29"/>
      <c r="F44" s="29"/>
      <c r="G44" s="91"/>
      <c r="H44" s="91"/>
      <c r="I44" s="29"/>
      <c r="J44" s="29"/>
      <c r="K44" s="50"/>
      <c r="L44" s="50"/>
      <c r="M44" s="50"/>
      <c r="N44" s="50"/>
      <c r="O44" s="17">
        <f t="shared" si="13"/>
        <v>0</v>
      </c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>
      <c r="A45" s="81" t="s">
        <v>14</v>
      </c>
      <c r="B45" s="81" t="s">
        <v>29</v>
      </c>
      <c r="C45" s="81" t="s">
        <v>30</v>
      </c>
      <c r="D45" s="81" t="s">
        <v>17</v>
      </c>
      <c r="E45" s="30" t="s">
        <v>31</v>
      </c>
      <c r="F45" s="30" t="s">
        <v>19</v>
      </c>
      <c r="G45" s="92" t="s">
        <v>20</v>
      </c>
      <c r="H45" s="92" t="s">
        <v>21</v>
      </c>
      <c r="I45" s="30" t="s">
        <v>22</v>
      </c>
      <c r="J45" s="30" t="s">
        <v>23</v>
      </c>
      <c r="K45" s="93" t="s">
        <v>24</v>
      </c>
      <c r="L45" s="81" t="s">
        <v>25</v>
      </c>
      <c r="M45" s="94" t="s">
        <v>53</v>
      </c>
      <c r="N45" s="50"/>
      <c r="O45" s="17">
        <f>sum(C45:M45)</f>
        <v>0</v>
      </c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>
      <c r="A46" s="82" t="s">
        <v>26</v>
      </c>
      <c r="B46" s="60">
        <v>26.0</v>
      </c>
      <c r="C46" s="73">
        <v>16.31</v>
      </c>
      <c r="D46" s="73">
        <v>6.0</v>
      </c>
      <c r="E46" s="33">
        <v>27.0</v>
      </c>
      <c r="F46" s="33">
        <v>12.0</v>
      </c>
      <c r="G46" s="86">
        <v>10.0</v>
      </c>
      <c r="H46" s="86">
        <v>5.0</v>
      </c>
      <c r="I46" s="33">
        <v>19.0</v>
      </c>
      <c r="J46" s="33">
        <v>30.0</v>
      </c>
      <c r="K46" s="95"/>
      <c r="L46" s="60">
        <v>45.0</v>
      </c>
      <c r="M46" s="60">
        <v>40.0</v>
      </c>
      <c r="N46" s="50"/>
      <c r="O46" s="17">
        <f t="shared" ref="O46:O50" si="15">sum(B46:M46)</f>
        <v>236.31</v>
      </c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>
      <c r="A47" s="82" t="s">
        <v>27</v>
      </c>
      <c r="B47" s="60">
        <v>62.0</v>
      </c>
      <c r="C47" s="73">
        <v>8.5</v>
      </c>
      <c r="D47" s="73">
        <v>0.0</v>
      </c>
      <c r="E47" s="33">
        <v>12.0</v>
      </c>
      <c r="F47" s="33">
        <v>5.0</v>
      </c>
      <c r="G47" s="86">
        <v>15.0</v>
      </c>
      <c r="H47" s="86">
        <v>3.0</v>
      </c>
      <c r="I47" s="33">
        <v>18.0</v>
      </c>
      <c r="J47" s="33">
        <v>214.0</v>
      </c>
      <c r="K47" s="95"/>
      <c r="L47" s="60">
        <v>0.0</v>
      </c>
      <c r="M47" s="60">
        <v>0.0</v>
      </c>
      <c r="N47" s="50"/>
      <c r="O47" s="76">
        <f t="shared" si="15"/>
        <v>337.5</v>
      </c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>
      <c r="A48" s="83" t="s">
        <v>28</v>
      </c>
      <c r="B48" s="84">
        <f t="shared" ref="B48:M48" si="16">SUM(B46:B47)</f>
        <v>88</v>
      </c>
      <c r="C48" s="84">
        <f t="shared" si="16"/>
        <v>24.81</v>
      </c>
      <c r="D48" s="84">
        <f t="shared" si="16"/>
        <v>6</v>
      </c>
      <c r="E48" s="46">
        <f t="shared" si="16"/>
        <v>39</v>
      </c>
      <c r="F48" s="46">
        <f t="shared" si="16"/>
        <v>17</v>
      </c>
      <c r="G48" s="46">
        <f t="shared" si="16"/>
        <v>25</v>
      </c>
      <c r="H48" s="46">
        <f t="shared" si="16"/>
        <v>8</v>
      </c>
      <c r="I48" s="46">
        <f t="shared" si="16"/>
        <v>37</v>
      </c>
      <c r="J48" s="46">
        <f t="shared" si="16"/>
        <v>244</v>
      </c>
      <c r="K48" s="83">
        <f t="shared" si="16"/>
        <v>0</v>
      </c>
      <c r="L48" s="83">
        <f t="shared" si="16"/>
        <v>45</v>
      </c>
      <c r="M48" s="83">
        <f t="shared" si="16"/>
        <v>40</v>
      </c>
      <c r="N48" s="50"/>
      <c r="O48" s="20">
        <f t="shared" si="15"/>
        <v>573.81</v>
      </c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>
      <c r="C49" s="2"/>
      <c r="D49" s="2"/>
      <c r="E49" s="2"/>
      <c r="F49" s="2"/>
      <c r="G49" s="91"/>
      <c r="H49" s="91"/>
      <c r="I49" s="2"/>
      <c r="J49" s="2"/>
      <c r="O49" s="17">
        <f t="shared" si="15"/>
        <v>0</v>
      </c>
    </row>
    <row r="50">
      <c r="A50" s="80">
        <v>45970.0</v>
      </c>
      <c r="B50" s="50"/>
      <c r="C50" s="74"/>
      <c r="D50" s="74"/>
      <c r="E50" s="29"/>
      <c r="F50" s="29"/>
      <c r="G50" s="91"/>
      <c r="H50" s="91"/>
      <c r="I50" s="29"/>
      <c r="J50" s="29"/>
      <c r="K50" s="50"/>
      <c r="L50" s="50"/>
      <c r="M50" s="50"/>
      <c r="N50" s="50"/>
      <c r="O50" s="17">
        <f t="shared" si="15"/>
        <v>0</v>
      </c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>
      <c r="A51" s="81" t="s">
        <v>14</v>
      </c>
      <c r="B51" s="81" t="s">
        <v>29</v>
      </c>
      <c r="C51" s="81" t="s">
        <v>30</v>
      </c>
      <c r="D51" s="81" t="s">
        <v>17</v>
      </c>
      <c r="E51" s="30" t="s">
        <v>31</v>
      </c>
      <c r="F51" s="30" t="s">
        <v>19</v>
      </c>
      <c r="G51" s="92" t="s">
        <v>20</v>
      </c>
      <c r="H51" s="92" t="s">
        <v>21</v>
      </c>
      <c r="I51" s="30" t="s">
        <v>22</v>
      </c>
      <c r="J51" s="30" t="s">
        <v>23</v>
      </c>
      <c r="K51" s="93" t="s">
        <v>24</v>
      </c>
      <c r="L51" s="81" t="s">
        <v>25</v>
      </c>
      <c r="M51" s="94" t="s">
        <v>53</v>
      </c>
      <c r="N51" s="50"/>
      <c r="O51" s="17">
        <f>sum(C51:M51)</f>
        <v>0</v>
      </c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>
      <c r="A52" s="82" t="s">
        <v>26</v>
      </c>
      <c r="B52" s="60">
        <v>26.0</v>
      </c>
      <c r="C52" s="73">
        <v>12.91</v>
      </c>
      <c r="D52" s="73">
        <v>8.0</v>
      </c>
      <c r="E52" s="33">
        <v>10.0</v>
      </c>
      <c r="F52" s="33">
        <v>15.0</v>
      </c>
      <c r="G52" s="86">
        <v>12.0</v>
      </c>
      <c r="H52" s="86">
        <v>7.0</v>
      </c>
      <c r="I52" s="33">
        <v>15.0</v>
      </c>
      <c r="J52" s="33">
        <v>22.0</v>
      </c>
      <c r="K52" s="95"/>
      <c r="L52" s="60">
        <v>0.0</v>
      </c>
      <c r="M52" s="60">
        <v>51.0</v>
      </c>
      <c r="N52" s="50"/>
      <c r="O52" s="17">
        <f t="shared" ref="O52:O56" si="17">sum(B52:M52)</f>
        <v>178.91</v>
      </c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>
      <c r="A53" s="82" t="s">
        <v>27</v>
      </c>
      <c r="B53" s="60">
        <v>72.0</v>
      </c>
      <c r="C53" s="73">
        <v>5.84</v>
      </c>
      <c r="D53" s="73">
        <v>0.0</v>
      </c>
      <c r="E53" s="33">
        <v>9.0</v>
      </c>
      <c r="F53" s="33">
        <v>8.0</v>
      </c>
      <c r="G53" s="86">
        <v>11.0</v>
      </c>
      <c r="H53" s="86">
        <v>8.0</v>
      </c>
      <c r="I53" s="33">
        <v>12.0</v>
      </c>
      <c r="J53" s="33">
        <v>10.0</v>
      </c>
      <c r="K53" s="95"/>
      <c r="L53" s="60">
        <v>0.0</v>
      </c>
      <c r="M53" s="60">
        <v>0.0</v>
      </c>
      <c r="N53" s="50"/>
      <c r="O53" s="76">
        <f t="shared" si="17"/>
        <v>135.84</v>
      </c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>
      <c r="A54" s="83" t="s">
        <v>28</v>
      </c>
      <c r="B54" s="84">
        <f t="shared" ref="B54:M54" si="18">SUM(B52:B53)</f>
        <v>98</v>
      </c>
      <c r="C54" s="84">
        <f t="shared" si="18"/>
        <v>18.75</v>
      </c>
      <c r="D54" s="84">
        <f t="shared" si="18"/>
        <v>8</v>
      </c>
      <c r="E54" s="46">
        <f t="shared" si="18"/>
        <v>19</v>
      </c>
      <c r="F54" s="46">
        <f t="shared" si="18"/>
        <v>23</v>
      </c>
      <c r="G54" s="46">
        <f t="shared" si="18"/>
        <v>23</v>
      </c>
      <c r="H54" s="46">
        <f t="shared" si="18"/>
        <v>15</v>
      </c>
      <c r="I54" s="46">
        <f t="shared" si="18"/>
        <v>27</v>
      </c>
      <c r="J54" s="46">
        <f t="shared" si="18"/>
        <v>32</v>
      </c>
      <c r="K54" s="83">
        <f t="shared" si="18"/>
        <v>0</v>
      </c>
      <c r="L54" s="83">
        <f t="shared" si="18"/>
        <v>0</v>
      </c>
      <c r="M54" s="83">
        <f t="shared" si="18"/>
        <v>51</v>
      </c>
      <c r="N54" s="50"/>
      <c r="O54" s="20">
        <f t="shared" si="17"/>
        <v>314.75</v>
      </c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>
      <c r="C55" s="2"/>
      <c r="D55" s="2"/>
      <c r="E55" s="2"/>
      <c r="F55" s="2"/>
      <c r="G55" s="91"/>
      <c r="H55" s="91"/>
      <c r="I55" s="2"/>
      <c r="J55" s="2"/>
      <c r="O55" s="17">
        <f t="shared" si="17"/>
        <v>0</v>
      </c>
    </row>
    <row r="56">
      <c r="A56" s="80">
        <v>45971.0</v>
      </c>
      <c r="B56" s="50"/>
      <c r="C56" s="74"/>
      <c r="D56" s="74"/>
      <c r="E56" s="29"/>
      <c r="F56" s="29"/>
      <c r="G56" s="91"/>
      <c r="H56" s="91"/>
      <c r="I56" s="29"/>
      <c r="J56" s="29"/>
      <c r="K56" s="50"/>
      <c r="L56" s="50"/>
      <c r="M56" s="50"/>
      <c r="N56" s="50"/>
      <c r="O56" s="17">
        <f t="shared" si="17"/>
        <v>0</v>
      </c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>
      <c r="A57" s="81" t="s">
        <v>14</v>
      </c>
      <c r="B57" s="81" t="s">
        <v>29</v>
      </c>
      <c r="C57" s="81" t="s">
        <v>30</v>
      </c>
      <c r="D57" s="81" t="s">
        <v>17</v>
      </c>
      <c r="E57" s="30" t="s">
        <v>31</v>
      </c>
      <c r="F57" s="30" t="s">
        <v>19</v>
      </c>
      <c r="G57" s="92" t="s">
        <v>20</v>
      </c>
      <c r="H57" s="92" t="s">
        <v>21</v>
      </c>
      <c r="I57" s="30" t="s">
        <v>22</v>
      </c>
      <c r="J57" s="30" t="s">
        <v>23</v>
      </c>
      <c r="K57" s="93" t="s">
        <v>24</v>
      </c>
      <c r="L57" s="81" t="s">
        <v>25</v>
      </c>
      <c r="M57" s="94" t="s">
        <v>53</v>
      </c>
      <c r="N57" s="50"/>
      <c r="O57" s="17">
        <f>sum(C57:M57)</f>
        <v>0</v>
      </c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>
      <c r="A58" s="82" t="s">
        <v>26</v>
      </c>
      <c r="B58" s="60">
        <v>31.0</v>
      </c>
      <c r="C58" s="73">
        <v>25.66</v>
      </c>
      <c r="D58" s="73">
        <v>8.0</v>
      </c>
      <c r="E58" s="33">
        <v>22.0</v>
      </c>
      <c r="F58" s="33">
        <v>8.0</v>
      </c>
      <c r="G58" s="86">
        <v>8.0</v>
      </c>
      <c r="H58" s="86">
        <v>9.0</v>
      </c>
      <c r="I58" s="33">
        <v>16.0</v>
      </c>
      <c r="J58" s="33">
        <v>27.0</v>
      </c>
      <c r="K58" s="95"/>
      <c r="L58" s="60">
        <v>53.0</v>
      </c>
      <c r="M58" s="60">
        <v>48.0</v>
      </c>
      <c r="N58" s="50"/>
      <c r="O58" s="17">
        <f t="shared" ref="O58:O62" si="19">sum(B58:M58)</f>
        <v>255.66</v>
      </c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>
      <c r="A59" s="82" t="s">
        <v>27</v>
      </c>
      <c r="B59" s="60">
        <v>90.0</v>
      </c>
      <c r="C59" s="73">
        <v>7.41</v>
      </c>
      <c r="D59" s="73">
        <v>40.0</v>
      </c>
      <c r="E59" s="33">
        <v>8.0</v>
      </c>
      <c r="F59" s="33">
        <v>6.0</v>
      </c>
      <c r="G59" s="86">
        <v>12.0</v>
      </c>
      <c r="H59" s="86">
        <v>4.0</v>
      </c>
      <c r="I59" s="33">
        <v>11.0</v>
      </c>
      <c r="J59" s="33">
        <v>13.0</v>
      </c>
      <c r="K59" s="95"/>
      <c r="L59" s="60">
        <v>0.0</v>
      </c>
      <c r="M59" s="60">
        <v>0.0</v>
      </c>
      <c r="N59" s="50"/>
      <c r="O59" s="76">
        <f t="shared" si="19"/>
        <v>191.41</v>
      </c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>
      <c r="A60" s="83" t="s">
        <v>28</v>
      </c>
      <c r="B60" s="84">
        <f t="shared" ref="B60:M60" si="20">SUM(B58:B59)</f>
        <v>121</v>
      </c>
      <c r="C60" s="84">
        <f t="shared" si="20"/>
        <v>33.07</v>
      </c>
      <c r="D60" s="84">
        <f t="shared" si="20"/>
        <v>48</v>
      </c>
      <c r="E60" s="46">
        <f t="shared" si="20"/>
        <v>30</v>
      </c>
      <c r="F60" s="46">
        <f t="shared" si="20"/>
        <v>14</v>
      </c>
      <c r="G60" s="46">
        <f t="shared" si="20"/>
        <v>20</v>
      </c>
      <c r="H60" s="46">
        <f t="shared" si="20"/>
        <v>13</v>
      </c>
      <c r="I60" s="46">
        <f t="shared" si="20"/>
        <v>27</v>
      </c>
      <c r="J60" s="46">
        <f t="shared" si="20"/>
        <v>40</v>
      </c>
      <c r="K60" s="83">
        <f t="shared" si="20"/>
        <v>0</v>
      </c>
      <c r="L60" s="83">
        <f t="shared" si="20"/>
        <v>53</v>
      </c>
      <c r="M60" s="83">
        <f t="shared" si="20"/>
        <v>48</v>
      </c>
      <c r="N60" s="50"/>
      <c r="O60" s="20">
        <f t="shared" si="19"/>
        <v>447.07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>
      <c r="C61" s="2"/>
      <c r="D61" s="2"/>
      <c r="E61" s="2"/>
      <c r="F61" s="2"/>
      <c r="G61" s="91"/>
      <c r="H61" s="91"/>
      <c r="I61" s="2"/>
      <c r="J61" s="2"/>
      <c r="O61" s="17">
        <f t="shared" si="19"/>
        <v>0</v>
      </c>
    </row>
    <row r="62">
      <c r="A62" s="80">
        <v>45972.0</v>
      </c>
      <c r="B62" s="50"/>
      <c r="C62" s="74"/>
      <c r="D62" s="74"/>
      <c r="E62" s="29"/>
      <c r="F62" s="29"/>
      <c r="G62" s="91"/>
      <c r="H62" s="91"/>
      <c r="I62" s="29"/>
      <c r="J62" s="29"/>
      <c r="K62" s="50"/>
      <c r="L62" s="50"/>
      <c r="M62" s="50"/>
      <c r="N62" s="50"/>
      <c r="O62" s="17">
        <f t="shared" si="19"/>
        <v>0</v>
      </c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>
      <c r="A63" s="81" t="s">
        <v>14</v>
      </c>
      <c r="B63" s="81" t="s">
        <v>29</v>
      </c>
      <c r="C63" s="81" t="s">
        <v>30</v>
      </c>
      <c r="D63" s="81" t="s">
        <v>17</v>
      </c>
      <c r="E63" s="30" t="s">
        <v>31</v>
      </c>
      <c r="F63" s="30" t="s">
        <v>19</v>
      </c>
      <c r="G63" s="92" t="s">
        <v>20</v>
      </c>
      <c r="H63" s="92" t="s">
        <v>21</v>
      </c>
      <c r="I63" s="30" t="s">
        <v>22</v>
      </c>
      <c r="J63" s="30" t="s">
        <v>23</v>
      </c>
      <c r="K63" s="93" t="s">
        <v>24</v>
      </c>
      <c r="L63" s="81" t="s">
        <v>25</v>
      </c>
      <c r="M63" s="94" t="s">
        <v>53</v>
      </c>
      <c r="N63" s="50"/>
      <c r="O63" s="17">
        <f>sum(C63:M63)</f>
        <v>0</v>
      </c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>
      <c r="A64" s="82" t="s">
        <v>26</v>
      </c>
      <c r="B64" s="60">
        <v>56.0</v>
      </c>
      <c r="C64" s="73">
        <v>25.66</v>
      </c>
      <c r="D64" s="73">
        <v>7.0</v>
      </c>
      <c r="E64" s="33">
        <v>19.0</v>
      </c>
      <c r="F64" s="33">
        <v>4.0</v>
      </c>
      <c r="G64" s="86">
        <v>9.0</v>
      </c>
      <c r="H64" s="86">
        <v>10.0</v>
      </c>
      <c r="I64" s="33">
        <v>18.0</v>
      </c>
      <c r="J64" s="33">
        <v>30.0</v>
      </c>
      <c r="K64" s="95"/>
      <c r="L64" s="60">
        <v>31.0</v>
      </c>
      <c r="M64" s="60">
        <v>57.0</v>
      </c>
      <c r="N64" s="50"/>
      <c r="O64" s="17">
        <f t="shared" ref="O64:O68" si="21">sum(B64:M64)</f>
        <v>266.66</v>
      </c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>
      <c r="A65" s="82" t="s">
        <v>27</v>
      </c>
      <c r="B65" s="60">
        <v>68.0</v>
      </c>
      <c r="C65" s="73">
        <v>5.3</v>
      </c>
      <c r="D65" s="73">
        <v>0.0</v>
      </c>
      <c r="E65" s="33">
        <v>7.0</v>
      </c>
      <c r="F65" s="33">
        <v>2.0</v>
      </c>
      <c r="G65" s="86">
        <v>13.0</v>
      </c>
      <c r="H65" s="86">
        <v>5.0</v>
      </c>
      <c r="I65" s="33">
        <v>20.0</v>
      </c>
      <c r="J65" s="33">
        <v>30.0</v>
      </c>
      <c r="K65" s="95"/>
      <c r="L65" s="60">
        <v>0.0</v>
      </c>
      <c r="M65" s="60">
        <v>0.0</v>
      </c>
      <c r="N65" s="50"/>
      <c r="O65" s="76">
        <f t="shared" si="21"/>
        <v>150.3</v>
      </c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>
      <c r="A66" s="83" t="s">
        <v>28</v>
      </c>
      <c r="B66" s="84">
        <f t="shared" ref="B66:M66" si="22">SUM(B64:B65)</f>
        <v>124</v>
      </c>
      <c r="C66" s="84">
        <f t="shared" si="22"/>
        <v>30.96</v>
      </c>
      <c r="D66" s="84">
        <f t="shared" si="22"/>
        <v>7</v>
      </c>
      <c r="E66" s="46">
        <f t="shared" si="22"/>
        <v>26</v>
      </c>
      <c r="F66" s="46">
        <f t="shared" si="22"/>
        <v>6</v>
      </c>
      <c r="G66" s="46">
        <f t="shared" si="22"/>
        <v>22</v>
      </c>
      <c r="H66" s="46">
        <f t="shared" si="22"/>
        <v>15</v>
      </c>
      <c r="I66" s="46">
        <f t="shared" si="22"/>
        <v>38</v>
      </c>
      <c r="J66" s="46">
        <f t="shared" si="22"/>
        <v>60</v>
      </c>
      <c r="K66" s="83">
        <f t="shared" si="22"/>
        <v>0</v>
      </c>
      <c r="L66" s="83">
        <f t="shared" si="22"/>
        <v>31</v>
      </c>
      <c r="M66" s="83">
        <f t="shared" si="22"/>
        <v>57</v>
      </c>
      <c r="N66" s="50"/>
      <c r="O66" s="20">
        <f t="shared" si="21"/>
        <v>416.96</v>
      </c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>
      <c r="C67" s="2"/>
      <c r="D67" s="2"/>
      <c r="E67" s="2"/>
      <c r="F67" s="2"/>
      <c r="G67" s="91"/>
      <c r="H67" s="91"/>
      <c r="I67" s="2"/>
      <c r="J67" s="2"/>
      <c r="O67" s="17">
        <f t="shared" si="21"/>
        <v>0</v>
      </c>
    </row>
    <row r="68">
      <c r="A68" s="80">
        <v>45973.0</v>
      </c>
      <c r="B68" s="50"/>
      <c r="C68" s="74"/>
      <c r="D68" s="74"/>
      <c r="E68" s="29"/>
      <c r="F68" s="29"/>
      <c r="G68" s="91"/>
      <c r="H68" s="91"/>
      <c r="I68" s="29"/>
      <c r="J68" s="29"/>
      <c r="K68" s="50"/>
      <c r="L68" s="50"/>
      <c r="M68" s="50"/>
      <c r="N68" s="50"/>
      <c r="O68" s="17">
        <f t="shared" si="21"/>
        <v>0</v>
      </c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>
      <c r="A69" s="81" t="s">
        <v>14</v>
      </c>
      <c r="B69" s="81" t="s">
        <v>29</v>
      </c>
      <c r="C69" s="81" t="s">
        <v>30</v>
      </c>
      <c r="D69" s="81" t="s">
        <v>17</v>
      </c>
      <c r="E69" s="30" t="s">
        <v>31</v>
      </c>
      <c r="F69" s="30" t="s">
        <v>19</v>
      </c>
      <c r="G69" s="92" t="s">
        <v>20</v>
      </c>
      <c r="H69" s="92" t="s">
        <v>21</v>
      </c>
      <c r="I69" s="30" t="s">
        <v>22</v>
      </c>
      <c r="J69" s="30" t="s">
        <v>23</v>
      </c>
      <c r="K69" s="93" t="s">
        <v>24</v>
      </c>
      <c r="L69" s="81" t="s">
        <v>25</v>
      </c>
      <c r="M69" s="94" t="s">
        <v>53</v>
      </c>
      <c r="N69" s="50"/>
      <c r="O69" s="17">
        <f>sum(C69:M69)</f>
        <v>0</v>
      </c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>
      <c r="A70" s="82" t="s">
        <v>26</v>
      </c>
      <c r="B70" s="60">
        <v>31.0</v>
      </c>
      <c r="C70" s="73">
        <v>16.23</v>
      </c>
      <c r="D70" s="73">
        <v>10.0</v>
      </c>
      <c r="E70" s="33">
        <v>11.0</v>
      </c>
      <c r="F70" s="33">
        <v>11.0</v>
      </c>
      <c r="G70" s="86">
        <v>8.0</v>
      </c>
      <c r="H70" s="86">
        <v>9.0</v>
      </c>
      <c r="I70" s="33"/>
      <c r="J70" s="33"/>
      <c r="K70" s="95"/>
      <c r="L70" s="60">
        <v>33.0</v>
      </c>
      <c r="M70" s="60">
        <v>52.0</v>
      </c>
      <c r="N70" s="50"/>
      <c r="O70" s="17">
        <f t="shared" ref="O70:O74" si="23">sum(B70:M70)</f>
        <v>181.23</v>
      </c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>
      <c r="A71" s="82" t="s">
        <v>27</v>
      </c>
      <c r="B71" s="60">
        <v>90.0</v>
      </c>
      <c r="C71" s="73">
        <v>5.74</v>
      </c>
      <c r="D71" s="73">
        <v>50.0</v>
      </c>
      <c r="E71" s="33">
        <v>7.0</v>
      </c>
      <c r="F71" s="33">
        <v>4.0</v>
      </c>
      <c r="G71" s="86">
        <v>12.0</v>
      </c>
      <c r="H71" s="86">
        <v>5.0</v>
      </c>
      <c r="I71" s="33"/>
      <c r="J71" s="33"/>
      <c r="K71" s="95"/>
      <c r="L71" s="60">
        <v>0.0</v>
      </c>
      <c r="M71" s="60">
        <v>0.0</v>
      </c>
      <c r="N71" s="50"/>
      <c r="O71" s="76">
        <f t="shared" si="23"/>
        <v>173.74</v>
      </c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>
      <c r="A72" s="83" t="s">
        <v>28</v>
      </c>
      <c r="B72" s="84">
        <f t="shared" ref="B72:M72" si="24">SUM(B70:B71)</f>
        <v>121</v>
      </c>
      <c r="C72" s="84">
        <f t="shared" si="24"/>
        <v>21.97</v>
      </c>
      <c r="D72" s="84">
        <f t="shared" si="24"/>
        <v>60</v>
      </c>
      <c r="E72" s="46">
        <f t="shared" si="24"/>
        <v>18</v>
      </c>
      <c r="F72" s="46">
        <f t="shared" si="24"/>
        <v>15</v>
      </c>
      <c r="G72" s="46">
        <f t="shared" si="24"/>
        <v>20</v>
      </c>
      <c r="H72" s="46">
        <f t="shared" si="24"/>
        <v>14</v>
      </c>
      <c r="I72" s="46">
        <f t="shared" si="24"/>
        <v>0</v>
      </c>
      <c r="J72" s="46">
        <f t="shared" si="24"/>
        <v>0</v>
      </c>
      <c r="K72" s="83">
        <f t="shared" si="24"/>
        <v>0</v>
      </c>
      <c r="L72" s="83">
        <f t="shared" si="24"/>
        <v>33</v>
      </c>
      <c r="M72" s="83">
        <f t="shared" si="24"/>
        <v>52</v>
      </c>
      <c r="N72" s="50"/>
      <c r="O72" s="20">
        <f t="shared" si="23"/>
        <v>354.97</v>
      </c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>
      <c r="C73" s="2"/>
      <c r="D73" s="2"/>
      <c r="E73" s="2"/>
      <c r="F73" s="2"/>
      <c r="G73" s="91"/>
      <c r="H73" s="91"/>
      <c r="I73" s="2"/>
      <c r="J73" s="2"/>
      <c r="O73" s="17">
        <f t="shared" si="23"/>
        <v>0</v>
      </c>
    </row>
    <row r="74">
      <c r="A74" s="80">
        <v>45974.0</v>
      </c>
      <c r="B74" s="50"/>
      <c r="C74" s="74"/>
      <c r="D74" s="74"/>
      <c r="E74" s="74"/>
      <c r="F74" s="74"/>
      <c r="G74" s="91"/>
      <c r="H74" s="91"/>
      <c r="I74" s="74"/>
      <c r="J74" s="74"/>
      <c r="K74" s="50"/>
      <c r="L74" s="50"/>
      <c r="M74" s="50"/>
      <c r="N74" s="50"/>
      <c r="O74" s="17">
        <f t="shared" si="23"/>
        <v>0</v>
      </c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>
      <c r="A75" s="81" t="s">
        <v>14</v>
      </c>
      <c r="B75" s="81" t="s">
        <v>29</v>
      </c>
      <c r="C75" s="81" t="s">
        <v>30</v>
      </c>
      <c r="D75" s="81" t="s">
        <v>17</v>
      </c>
      <c r="E75" s="81" t="s">
        <v>31</v>
      </c>
      <c r="F75" s="81" t="s">
        <v>19</v>
      </c>
      <c r="G75" s="92" t="s">
        <v>20</v>
      </c>
      <c r="H75" s="92" t="s">
        <v>21</v>
      </c>
      <c r="I75" s="81" t="s">
        <v>22</v>
      </c>
      <c r="J75" s="81" t="s">
        <v>23</v>
      </c>
      <c r="K75" s="93" t="s">
        <v>24</v>
      </c>
      <c r="L75" s="81" t="s">
        <v>25</v>
      </c>
      <c r="M75" s="94" t="s">
        <v>53</v>
      </c>
      <c r="N75" s="50"/>
      <c r="O75" s="17">
        <f>sum(C75:M75)</f>
        <v>0</v>
      </c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>
      <c r="A76" s="82" t="s">
        <v>26</v>
      </c>
      <c r="B76" s="60">
        <v>37.0</v>
      </c>
      <c r="C76" s="73">
        <v>18.25</v>
      </c>
      <c r="D76" s="73">
        <v>7.0</v>
      </c>
      <c r="E76" s="73">
        <v>40.0</v>
      </c>
      <c r="F76" s="73">
        <v>12.0</v>
      </c>
      <c r="G76" s="86">
        <v>9.0</v>
      </c>
      <c r="H76" s="86">
        <v>9.0</v>
      </c>
      <c r="I76" s="73">
        <v>19.0</v>
      </c>
      <c r="J76" s="73">
        <v>40.0</v>
      </c>
      <c r="K76" s="95"/>
      <c r="L76" s="60">
        <v>57.0</v>
      </c>
      <c r="M76" s="60">
        <v>52.0</v>
      </c>
      <c r="N76" s="50"/>
      <c r="O76" s="17">
        <f t="shared" ref="O76:O80" si="25">sum(B76:M76)</f>
        <v>300.25</v>
      </c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>
      <c r="A77" s="82" t="s">
        <v>27</v>
      </c>
      <c r="B77" s="60">
        <v>84.0</v>
      </c>
      <c r="C77" s="73">
        <v>6.84</v>
      </c>
      <c r="D77" s="73">
        <v>0.0</v>
      </c>
      <c r="E77" s="73">
        <v>10.0</v>
      </c>
      <c r="F77" s="73">
        <v>11.0</v>
      </c>
      <c r="G77" s="86">
        <v>18.0</v>
      </c>
      <c r="H77" s="86">
        <v>5.0</v>
      </c>
      <c r="I77" s="73">
        <v>14.0</v>
      </c>
      <c r="J77" s="73">
        <v>12.0</v>
      </c>
      <c r="K77" s="95"/>
      <c r="L77" s="60">
        <v>0.0</v>
      </c>
      <c r="M77" s="60">
        <v>0.0</v>
      </c>
      <c r="N77" s="50"/>
      <c r="O77" s="76">
        <f t="shared" si="25"/>
        <v>160.84</v>
      </c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>
      <c r="A78" s="83" t="s">
        <v>28</v>
      </c>
      <c r="B78" s="84">
        <f t="shared" ref="B78:M78" si="26">SUM(B76:B77)</f>
        <v>121</v>
      </c>
      <c r="C78" s="84">
        <f t="shared" si="26"/>
        <v>25.09</v>
      </c>
      <c r="D78" s="84">
        <f t="shared" si="26"/>
        <v>7</v>
      </c>
      <c r="E78" s="84">
        <f t="shared" si="26"/>
        <v>50</v>
      </c>
      <c r="F78" s="84">
        <f t="shared" si="26"/>
        <v>23</v>
      </c>
      <c r="G78" s="46">
        <f t="shared" si="26"/>
        <v>27</v>
      </c>
      <c r="H78" s="46">
        <f t="shared" si="26"/>
        <v>14</v>
      </c>
      <c r="I78" s="84">
        <f t="shared" si="26"/>
        <v>33</v>
      </c>
      <c r="J78" s="84">
        <f t="shared" si="26"/>
        <v>52</v>
      </c>
      <c r="K78" s="83">
        <f t="shared" si="26"/>
        <v>0</v>
      </c>
      <c r="L78" s="83">
        <f t="shared" si="26"/>
        <v>57</v>
      </c>
      <c r="M78" s="83">
        <f t="shared" si="26"/>
        <v>52</v>
      </c>
      <c r="N78" s="50"/>
      <c r="O78" s="20">
        <f t="shared" si="25"/>
        <v>461.09</v>
      </c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>
      <c r="C79" s="2"/>
      <c r="D79" s="2"/>
      <c r="E79" s="2"/>
      <c r="F79" s="2"/>
      <c r="G79" s="91"/>
      <c r="H79" s="91"/>
      <c r="I79" s="2"/>
      <c r="J79" s="2"/>
      <c r="O79" s="17">
        <f t="shared" si="25"/>
        <v>0</v>
      </c>
    </row>
    <row r="80">
      <c r="A80" s="80">
        <v>45975.0</v>
      </c>
      <c r="B80" s="50"/>
      <c r="C80" s="74"/>
      <c r="D80" s="74"/>
      <c r="E80" s="74"/>
      <c r="F80" s="74"/>
      <c r="G80" s="91"/>
      <c r="H80" s="91"/>
      <c r="I80" s="74"/>
      <c r="J80" s="74"/>
      <c r="K80" s="50"/>
      <c r="L80" s="50"/>
      <c r="M80" s="50"/>
      <c r="N80" s="50"/>
      <c r="O80" s="17">
        <f t="shared" si="25"/>
        <v>0</v>
      </c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>
      <c r="A81" s="81" t="s">
        <v>14</v>
      </c>
      <c r="B81" s="81" t="s">
        <v>29</v>
      </c>
      <c r="C81" s="81" t="s">
        <v>30</v>
      </c>
      <c r="D81" s="81" t="s">
        <v>17</v>
      </c>
      <c r="E81" s="81" t="s">
        <v>31</v>
      </c>
      <c r="F81" s="81" t="s">
        <v>19</v>
      </c>
      <c r="G81" s="92" t="s">
        <v>20</v>
      </c>
      <c r="H81" s="92" t="s">
        <v>21</v>
      </c>
      <c r="I81" s="81" t="s">
        <v>22</v>
      </c>
      <c r="J81" s="81" t="s">
        <v>23</v>
      </c>
      <c r="K81" s="93" t="s">
        <v>24</v>
      </c>
      <c r="L81" s="81" t="s">
        <v>25</v>
      </c>
      <c r="M81" s="94" t="s">
        <v>53</v>
      </c>
      <c r="N81" s="50"/>
      <c r="O81" s="17">
        <f>sum(C81:M81)</f>
        <v>0</v>
      </c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>
      <c r="A82" s="82" t="s">
        <v>26</v>
      </c>
      <c r="B82" s="60">
        <v>63.0</v>
      </c>
      <c r="C82" s="73">
        <v>18.54</v>
      </c>
      <c r="D82" s="73">
        <v>6.0</v>
      </c>
      <c r="E82" s="73">
        <v>20.0</v>
      </c>
      <c r="F82" s="73">
        <v>7.0</v>
      </c>
      <c r="G82" s="86">
        <v>7.0</v>
      </c>
      <c r="H82" s="86">
        <v>9.0</v>
      </c>
      <c r="I82" s="73">
        <v>35.0</v>
      </c>
      <c r="J82" s="73">
        <v>40.0</v>
      </c>
      <c r="K82" s="95"/>
      <c r="L82" s="60">
        <v>43.0</v>
      </c>
      <c r="M82" s="60">
        <v>0.0</v>
      </c>
      <c r="N82" s="50"/>
      <c r="O82" s="17">
        <f t="shared" ref="O82:O86" si="27">sum(B82:M82)</f>
        <v>248.54</v>
      </c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>
      <c r="A83" s="82" t="s">
        <v>27</v>
      </c>
      <c r="B83" s="60">
        <v>109.0</v>
      </c>
      <c r="C83" s="73">
        <v>5.92</v>
      </c>
      <c r="D83" s="73">
        <v>0.0</v>
      </c>
      <c r="E83" s="73">
        <v>10.0</v>
      </c>
      <c r="F83" s="73">
        <v>4.0</v>
      </c>
      <c r="G83" s="86">
        <v>13.0</v>
      </c>
      <c r="H83" s="86">
        <v>5.0</v>
      </c>
      <c r="I83" s="73">
        <v>20.0</v>
      </c>
      <c r="J83" s="73">
        <v>18.0</v>
      </c>
      <c r="K83" s="95"/>
      <c r="L83" s="60">
        <v>0.0</v>
      </c>
      <c r="M83" s="60">
        <v>0.0</v>
      </c>
      <c r="N83" s="50"/>
      <c r="O83" s="76">
        <f t="shared" si="27"/>
        <v>184.92</v>
      </c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>
      <c r="A84" s="83" t="s">
        <v>28</v>
      </c>
      <c r="B84" s="84">
        <f t="shared" ref="B84:M84" si="28">SUM(B82:B83)</f>
        <v>172</v>
      </c>
      <c r="C84" s="84">
        <f t="shared" si="28"/>
        <v>24.46</v>
      </c>
      <c r="D84" s="84">
        <f t="shared" si="28"/>
        <v>6</v>
      </c>
      <c r="E84" s="84">
        <f t="shared" si="28"/>
        <v>30</v>
      </c>
      <c r="F84" s="84">
        <f t="shared" si="28"/>
        <v>11</v>
      </c>
      <c r="G84" s="46">
        <f t="shared" si="28"/>
        <v>20</v>
      </c>
      <c r="H84" s="46">
        <f t="shared" si="28"/>
        <v>14</v>
      </c>
      <c r="I84" s="84">
        <f t="shared" si="28"/>
        <v>55</v>
      </c>
      <c r="J84" s="84">
        <f t="shared" si="28"/>
        <v>58</v>
      </c>
      <c r="K84" s="83">
        <f t="shared" si="28"/>
        <v>0</v>
      </c>
      <c r="L84" s="83">
        <f t="shared" si="28"/>
        <v>43</v>
      </c>
      <c r="M84" s="83">
        <f t="shared" si="28"/>
        <v>0</v>
      </c>
      <c r="N84" s="50"/>
      <c r="O84" s="20">
        <f t="shared" si="27"/>
        <v>433.46</v>
      </c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>
      <c r="C85" s="2"/>
      <c r="D85" s="2"/>
      <c r="E85" s="2"/>
      <c r="F85" s="2"/>
      <c r="G85" s="91"/>
      <c r="H85" s="91"/>
      <c r="I85" s="2"/>
      <c r="J85" s="2"/>
      <c r="O85" s="17">
        <f t="shared" si="27"/>
        <v>0</v>
      </c>
    </row>
    <row r="86">
      <c r="A86" s="80">
        <v>45976.0</v>
      </c>
      <c r="B86" s="50"/>
      <c r="C86" s="74"/>
      <c r="D86" s="74"/>
      <c r="E86" s="74"/>
      <c r="F86" s="74"/>
      <c r="G86" s="91"/>
      <c r="H86" s="91"/>
      <c r="I86" s="74"/>
      <c r="J86" s="74"/>
      <c r="K86" s="50"/>
      <c r="L86" s="50"/>
      <c r="M86" s="50"/>
      <c r="N86" s="50"/>
      <c r="O86" s="17">
        <f t="shared" si="27"/>
        <v>0</v>
      </c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>
      <c r="A87" s="81" t="s">
        <v>14</v>
      </c>
      <c r="B87" s="81" t="s">
        <v>29</v>
      </c>
      <c r="C87" s="81" t="s">
        <v>30</v>
      </c>
      <c r="D87" s="81" t="s">
        <v>17</v>
      </c>
      <c r="E87" s="81" t="s">
        <v>31</v>
      </c>
      <c r="F87" s="81" t="s">
        <v>19</v>
      </c>
      <c r="G87" s="92" t="s">
        <v>20</v>
      </c>
      <c r="H87" s="92" t="s">
        <v>21</v>
      </c>
      <c r="I87" s="81" t="s">
        <v>22</v>
      </c>
      <c r="J87" s="81" t="s">
        <v>23</v>
      </c>
      <c r="K87" s="93" t="s">
        <v>24</v>
      </c>
      <c r="L87" s="81" t="s">
        <v>25</v>
      </c>
      <c r="M87" s="94" t="s">
        <v>53</v>
      </c>
      <c r="N87" s="50"/>
      <c r="O87" s="17">
        <f>sum(C87:M87)</f>
        <v>0</v>
      </c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>
      <c r="A88" s="82" t="s">
        <v>26</v>
      </c>
      <c r="B88" s="60">
        <v>26.0</v>
      </c>
      <c r="C88" s="73">
        <v>17.49</v>
      </c>
      <c r="D88" s="73">
        <v>9.0</v>
      </c>
      <c r="E88" s="73">
        <v>25.0</v>
      </c>
      <c r="F88" s="73">
        <v>6.0</v>
      </c>
      <c r="G88" s="86">
        <v>5.0</v>
      </c>
      <c r="H88" s="86">
        <v>9.0</v>
      </c>
      <c r="I88" s="73">
        <v>18.0</v>
      </c>
      <c r="J88" s="73">
        <v>25.0</v>
      </c>
      <c r="K88" s="95"/>
      <c r="L88" s="60">
        <v>43.0</v>
      </c>
      <c r="M88" s="60">
        <v>62.0</v>
      </c>
      <c r="N88" s="50"/>
      <c r="O88" s="17">
        <f t="shared" ref="O88:O92" si="29">sum(B88:M88)</f>
        <v>245.49</v>
      </c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>
      <c r="A89" s="82" t="s">
        <v>27</v>
      </c>
      <c r="B89" s="60">
        <v>76.0</v>
      </c>
      <c r="C89" s="73">
        <v>7.8</v>
      </c>
      <c r="D89" s="73">
        <v>45.0</v>
      </c>
      <c r="E89" s="73">
        <v>10.0</v>
      </c>
      <c r="F89" s="73">
        <v>6.0</v>
      </c>
      <c r="G89" s="86">
        <v>12.0</v>
      </c>
      <c r="H89" s="86">
        <v>3.0</v>
      </c>
      <c r="I89" s="73">
        <v>12.0</v>
      </c>
      <c r="J89" s="73">
        <v>10.0</v>
      </c>
      <c r="K89" s="95"/>
      <c r="L89" s="60">
        <v>0.0</v>
      </c>
      <c r="M89" s="60">
        <v>0.0</v>
      </c>
      <c r="N89" s="50"/>
      <c r="O89" s="76">
        <f t="shared" si="29"/>
        <v>181.8</v>
      </c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>
      <c r="A90" s="83" t="s">
        <v>28</v>
      </c>
      <c r="B90" s="84">
        <f t="shared" ref="B90:M90" si="30">SUM(B88:B89)</f>
        <v>102</v>
      </c>
      <c r="C90" s="84">
        <f t="shared" si="30"/>
        <v>25.29</v>
      </c>
      <c r="D90" s="84">
        <f t="shared" si="30"/>
        <v>54</v>
      </c>
      <c r="E90" s="84">
        <f t="shared" si="30"/>
        <v>35</v>
      </c>
      <c r="F90" s="84">
        <f t="shared" si="30"/>
        <v>12</v>
      </c>
      <c r="G90" s="46">
        <f t="shared" si="30"/>
        <v>17</v>
      </c>
      <c r="H90" s="46">
        <f t="shared" si="30"/>
        <v>12</v>
      </c>
      <c r="I90" s="84">
        <f t="shared" si="30"/>
        <v>30</v>
      </c>
      <c r="J90" s="84">
        <f t="shared" si="30"/>
        <v>35</v>
      </c>
      <c r="K90" s="83">
        <f t="shared" si="30"/>
        <v>0</v>
      </c>
      <c r="L90" s="83">
        <f t="shared" si="30"/>
        <v>43</v>
      </c>
      <c r="M90" s="83">
        <f t="shared" si="30"/>
        <v>62</v>
      </c>
      <c r="N90" s="50"/>
      <c r="O90" s="20">
        <f t="shared" si="29"/>
        <v>427.29</v>
      </c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>
      <c r="C91" s="2"/>
      <c r="D91" s="2"/>
      <c r="E91" s="2"/>
      <c r="F91" s="2"/>
      <c r="G91" s="91"/>
      <c r="H91" s="91"/>
      <c r="I91" s="2"/>
      <c r="J91" s="2"/>
      <c r="O91" s="17">
        <f t="shared" si="29"/>
        <v>0</v>
      </c>
    </row>
    <row r="92">
      <c r="A92" s="80">
        <v>45977.0</v>
      </c>
      <c r="B92" s="50"/>
      <c r="C92" s="74"/>
      <c r="D92" s="74"/>
      <c r="E92" s="74"/>
      <c r="F92" s="74"/>
      <c r="G92" s="91"/>
      <c r="H92" s="91"/>
      <c r="I92" s="74"/>
      <c r="J92" s="74"/>
      <c r="K92" s="50"/>
      <c r="L92" s="50"/>
      <c r="M92" s="50"/>
      <c r="N92" s="50"/>
      <c r="O92" s="17">
        <f t="shared" si="29"/>
        <v>0</v>
      </c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>
      <c r="A93" s="81" t="s">
        <v>14</v>
      </c>
      <c r="B93" s="81" t="s">
        <v>29</v>
      </c>
      <c r="C93" s="81" t="s">
        <v>30</v>
      </c>
      <c r="D93" s="81" t="s">
        <v>17</v>
      </c>
      <c r="E93" s="81" t="s">
        <v>31</v>
      </c>
      <c r="F93" s="81" t="s">
        <v>19</v>
      </c>
      <c r="G93" s="92" t="s">
        <v>20</v>
      </c>
      <c r="H93" s="92" t="s">
        <v>21</v>
      </c>
      <c r="I93" s="81" t="s">
        <v>22</v>
      </c>
      <c r="J93" s="81" t="s">
        <v>23</v>
      </c>
      <c r="K93" s="93" t="s">
        <v>24</v>
      </c>
      <c r="L93" s="81" t="s">
        <v>25</v>
      </c>
      <c r="M93" s="94" t="s">
        <v>53</v>
      </c>
      <c r="N93" s="50"/>
      <c r="O93" s="17">
        <f>sum(C93:M93)</f>
        <v>0</v>
      </c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>
      <c r="A94" s="82" t="s">
        <v>26</v>
      </c>
      <c r="B94" s="60">
        <v>27.0</v>
      </c>
      <c r="C94" s="73">
        <v>19.19</v>
      </c>
      <c r="D94" s="73">
        <v>10.0</v>
      </c>
      <c r="E94" s="73">
        <v>30.0</v>
      </c>
      <c r="F94" s="73">
        <v>9.0</v>
      </c>
      <c r="G94" s="86">
        <v>7.0</v>
      </c>
      <c r="H94" s="86">
        <v>8.0</v>
      </c>
      <c r="I94" s="73">
        <v>24.0</v>
      </c>
      <c r="J94" s="73">
        <v>30.0</v>
      </c>
      <c r="K94" s="95"/>
      <c r="L94" s="60">
        <v>0.0</v>
      </c>
      <c r="M94" s="60">
        <v>62.0</v>
      </c>
      <c r="N94" s="50"/>
      <c r="O94" s="17">
        <f t="shared" ref="O94:O98" si="31">sum(B94:M94)</f>
        <v>226.19</v>
      </c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>
      <c r="A95" s="82" t="s">
        <v>27</v>
      </c>
      <c r="B95" s="60">
        <v>90.0</v>
      </c>
      <c r="C95" s="73">
        <v>11.5</v>
      </c>
      <c r="D95" s="73">
        <v>38.0</v>
      </c>
      <c r="E95" s="73">
        <v>5.0</v>
      </c>
      <c r="F95" s="73">
        <v>7.0</v>
      </c>
      <c r="G95" s="86">
        <v>17.0</v>
      </c>
      <c r="H95" s="86">
        <v>5.0</v>
      </c>
      <c r="I95" s="73">
        <v>15.0</v>
      </c>
      <c r="J95" s="73">
        <v>8.0</v>
      </c>
      <c r="K95" s="95"/>
      <c r="L95" s="60">
        <v>0.0</v>
      </c>
      <c r="M95" s="60">
        <v>0.0</v>
      </c>
      <c r="N95" s="50"/>
      <c r="O95" s="76">
        <f t="shared" si="31"/>
        <v>196.5</v>
      </c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>
      <c r="A96" s="83" t="s">
        <v>28</v>
      </c>
      <c r="B96" s="84">
        <f t="shared" ref="B96:M96" si="32">SUM(B94:B95)</f>
        <v>117</v>
      </c>
      <c r="C96" s="84">
        <f t="shared" si="32"/>
        <v>30.69</v>
      </c>
      <c r="D96" s="84">
        <f t="shared" si="32"/>
        <v>48</v>
      </c>
      <c r="E96" s="84">
        <f t="shared" si="32"/>
        <v>35</v>
      </c>
      <c r="F96" s="84">
        <f t="shared" si="32"/>
        <v>16</v>
      </c>
      <c r="G96" s="46">
        <f t="shared" si="32"/>
        <v>24</v>
      </c>
      <c r="H96" s="46">
        <f t="shared" si="32"/>
        <v>13</v>
      </c>
      <c r="I96" s="84">
        <f t="shared" si="32"/>
        <v>39</v>
      </c>
      <c r="J96" s="84">
        <f t="shared" si="32"/>
        <v>38</v>
      </c>
      <c r="K96" s="83">
        <f t="shared" si="32"/>
        <v>0</v>
      </c>
      <c r="L96" s="83">
        <f t="shared" si="32"/>
        <v>0</v>
      </c>
      <c r="M96" s="83">
        <f t="shared" si="32"/>
        <v>62</v>
      </c>
      <c r="N96" s="50"/>
      <c r="O96" s="20">
        <f t="shared" si="31"/>
        <v>422.69</v>
      </c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>
      <c r="C97" s="2"/>
      <c r="D97" s="2"/>
      <c r="E97" s="2"/>
      <c r="F97" s="2"/>
      <c r="G97" s="91"/>
      <c r="H97" s="91"/>
      <c r="I97" s="2"/>
      <c r="J97" s="2"/>
      <c r="O97" s="17">
        <f t="shared" si="31"/>
        <v>0</v>
      </c>
    </row>
    <row r="98">
      <c r="A98" s="80">
        <v>45978.0</v>
      </c>
      <c r="B98" s="50"/>
      <c r="C98" s="74"/>
      <c r="D98" s="74"/>
      <c r="E98" s="74"/>
      <c r="F98" s="74"/>
      <c r="G98" s="91"/>
      <c r="H98" s="91"/>
      <c r="I98" s="74"/>
      <c r="J98" s="74"/>
      <c r="K98" s="50"/>
      <c r="L98" s="50"/>
      <c r="M98" s="50"/>
      <c r="N98" s="50"/>
      <c r="O98" s="17">
        <f t="shared" si="31"/>
        <v>0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>
      <c r="A99" s="81" t="s">
        <v>14</v>
      </c>
      <c r="B99" s="81" t="s">
        <v>29</v>
      </c>
      <c r="C99" s="81" t="s">
        <v>30</v>
      </c>
      <c r="D99" s="81" t="s">
        <v>17</v>
      </c>
      <c r="E99" s="81" t="s">
        <v>31</v>
      </c>
      <c r="F99" s="81" t="s">
        <v>19</v>
      </c>
      <c r="G99" s="92" t="s">
        <v>20</v>
      </c>
      <c r="H99" s="92" t="s">
        <v>21</v>
      </c>
      <c r="I99" s="81" t="s">
        <v>22</v>
      </c>
      <c r="J99" s="81" t="s">
        <v>23</v>
      </c>
      <c r="K99" s="93" t="s">
        <v>24</v>
      </c>
      <c r="L99" s="81" t="s">
        <v>25</v>
      </c>
      <c r="M99" s="94" t="s">
        <v>53</v>
      </c>
      <c r="N99" s="50"/>
      <c r="O99" s="17">
        <f>sum(C99:M99)</f>
        <v>0</v>
      </c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>
      <c r="A100" s="82" t="s">
        <v>26</v>
      </c>
      <c r="B100" s="60">
        <v>47.0</v>
      </c>
      <c r="C100" s="73">
        <v>16.84</v>
      </c>
      <c r="D100" s="73">
        <v>11.0</v>
      </c>
      <c r="E100" s="73">
        <v>22.0</v>
      </c>
      <c r="F100" s="73">
        <v>24.0</v>
      </c>
      <c r="G100" s="86">
        <v>8.0</v>
      </c>
      <c r="H100" s="86">
        <v>7.0</v>
      </c>
      <c r="I100" s="73">
        <v>16.0</v>
      </c>
      <c r="J100" s="73">
        <v>18.0</v>
      </c>
      <c r="K100" s="95"/>
      <c r="L100" s="60">
        <v>39.0</v>
      </c>
      <c r="M100" s="60">
        <v>50.0</v>
      </c>
      <c r="N100" s="50"/>
      <c r="O100" s="17">
        <f t="shared" ref="O100:O104" si="33">sum(B100:M100)</f>
        <v>258.84</v>
      </c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>
      <c r="A101" s="82" t="s">
        <v>27</v>
      </c>
      <c r="B101" s="60">
        <v>97.0</v>
      </c>
      <c r="C101" s="73">
        <v>5.34</v>
      </c>
      <c r="D101" s="73">
        <v>0.0</v>
      </c>
      <c r="E101" s="73">
        <v>3.0</v>
      </c>
      <c r="F101" s="73">
        <v>7.0</v>
      </c>
      <c r="G101" s="86">
        <v>17.0</v>
      </c>
      <c r="H101" s="86">
        <v>5.0</v>
      </c>
      <c r="I101" s="73">
        <v>15.0</v>
      </c>
      <c r="J101" s="73">
        <v>10.0</v>
      </c>
      <c r="K101" s="95"/>
      <c r="L101" s="60">
        <v>0.0</v>
      </c>
      <c r="M101" s="60">
        <v>0.0</v>
      </c>
      <c r="N101" s="50"/>
      <c r="O101" s="76">
        <f t="shared" si="33"/>
        <v>159.34</v>
      </c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>
      <c r="A102" s="83" t="s">
        <v>28</v>
      </c>
      <c r="B102" s="84">
        <f t="shared" ref="B102:M102" si="34">SUM(B100:B101)</f>
        <v>144</v>
      </c>
      <c r="C102" s="84">
        <f t="shared" si="34"/>
        <v>22.18</v>
      </c>
      <c r="D102" s="84">
        <f t="shared" si="34"/>
        <v>11</v>
      </c>
      <c r="E102" s="84">
        <f t="shared" si="34"/>
        <v>25</v>
      </c>
      <c r="F102" s="84">
        <f t="shared" si="34"/>
        <v>31</v>
      </c>
      <c r="G102" s="46">
        <f t="shared" si="34"/>
        <v>25</v>
      </c>
      <c r="H102" s="46">
        <f t="shared" si="34"/>
        <v>12</v>
      </c>
      <c r="I102" s="84">
        <f t="shared" si="34"/>
        <v>31</v>
      </c>
      <c r="J102" s="84">
        <f t="shared" si="34"/>
        <v>28</v>
      </c>
      <c r="K102" s="83">
        <f t="shared" si="34"/>
        <v>0</v>
      </c>
      <c r="L102" s="83">
        <f t="shared" si="34"/>
        <v>39</v>
      </c>
      <c r="M102" s="83">
        <f t="shared" si="34"/>
        <v>50</v>
      </c>
      <c r="N102" s="50"/>
      <c r="O102" s="20">
        <f t="shared" si="33"/>
        <v>418.18</v>
      </c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>
      <c r="C103" s="2"/>
      <c r="D103" s="2"/>
      <c r="E103" s="2"/>
      <c r="F103" s="2"/>
      <c r="G103" s="91"/>
      <c r="H103" s="91"/>
      <c r="I103" s="2"/>
      <c r="J103" s="2"/>
      <c r="O103" s="17">
        <f t="shared" si="33"/>
        <v>0</v>
      </c>
    </row>
    <row r="104">
      <c r="A104" s="80">
        <v>45979.0</v>
      </c>
      <c r="B104" s="50"/>
      <c r="C104" s="74"/>
      <c r="D104" s="74"/>
      <c r="E104" s="74"/>
      <c r="F104" s="74"/>
      <c r="G104" s="91"/>
      <c r="H104" s="91"/>
      <c r="I104" s="74"/>
      <c r="J104" s="74"/>
      <c r="K104" s="50"/>
      <c r="L104" s="50"/>
      <c r="M104" s="50"/>
      <c r="N104" s="50"/>
      <c r="O104" s="17">
        <f t="shared" si="33"/>
        <v>0</v>
      </c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>
      <c r="A105" s="81" t="s">
        <v>14</v>
      </c>
      <c r="B105" s="81" t="s">
        <v>29</v>
      </c>
      <c r="C105" s="81" t="s">
        <v>30</v>
      </c>
      <c r="D105" s="81" t="s">
        <v>17</v>
      </c>
      <c r="E105" s="81" t="s">
        <v>31</v>
      </c>
      <c r="F105" s="81" t="s">
        <v>19</v>
      </c>
      <c r="G105" s="92" t="s">
        <v>20</v>
      </c>
      <c r="H105" s="92" t="s">
        <v>21</v>
      </c>
      <c r="I105" s="81" t="s">
        <v>22</v>
      </c>
      <c r="J105" s="81" t="s">
        <v>23</v>
      </c>
      <c r="K105" s="93" t="s">
        <v>24</v>
      </c>
      <c r="L105" s="81" t="s">
        <v>25</v>
      </c>
      <c r="M105" s="94" t="s">
        <v>53</v>
      </c>
      <c r="N105" s="50"/>
      <c r="O105" s="17">
        <f>sum(C105:M105)</f>
        <v>0</v>
      </c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>
      <c r="A106" s="82" t="s">
        <v>26</v>
      </c>
      <c r="B106" s="60">
        <v>47.0</v>
      </c>
      <c r="C106" s="73">
        <v>18.15</v>
      </c>
      <c r="D106" s="73">
        <v>10.0</v>
      </c>
      <c r="E106" s="73">
        <v>28.0</v>
      </c>
      <c r="F106" s="73">
        <v>10.0</v>
      </c>
      <c r="G106" s="86">
        <v>9.0</v>
      </c>
      <c r="H106" s="86">
        <v>7.0</v>
      </c>
      <c r="I106" s="73">
        <v>18.0</v>
      </c>
      <c r="J106" s="73">
        <v>29.0</v>
      </c>
      <c r="K106" s="95"/>
      <c r="L106" s="60">
        <v>64.0</v>
      </c>
      <c r="M106" s="60">
        <v>54.0</v>
      </c>
      <c r="N106" s="50"/>
      <c r="O106" s="17">
        <f t="shared" ref="O106:O110" si="35">sum(B106:M106)</f>
        <v>294.15</v>
      </c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>
      <c r="A107" s="82" t="s">
        <v>27</v>
      </c>
      <c r="B107" s="60">
        <v>97.0</v>
      </c>
      <c r="C107" s="73">
        <v>4.72</v>
      </c>
      <c r="D107" s="73">
        <v>0.0</v>
      </c>
      <c r="E107" s="73">
        <v>6.0</v>
      </c>
      <c r="F107" s="73">
        <v>6.0</v>
      </c>
      <c r="G107" s="86">
        <v>12.0</v>
      </c>
      <c r="H107" s="86">
        <v>6.0</v>
      </c>
      <c r="I107" s="73">
        <v>16.0</v>
      </c>
      <c r="J107" s="73">
        <v>8.0</v>
      </c>
      <c r="K107" s="95"/>
      <c r="L107" s="60">
        <v>0.0</v>
      </c>
      <c r="M107" s="60">
        <v>0.0</v>
      </c>
      <c r="N107" s="50"/>
      <c r="O107" s="76">
        <f t="shared" si="35"/>
        <v>155.72</v>
      </c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>
      <c r="A108" s="83" t="s">
        <v>28</v>
      </c>
      <c r="B108" s="84">
        <f t="shared" ref="B108:M108" si="36">SUM(B106:B107)</f>
        <v>144</v>
      </c>
      <c r="C108" s="84">
        <f t="shared" si="36"/>
        <v>22.87</v>
      </c>
      <c r="D108" s="84">
        <f t="shared" si="36"/>
        <v>10</v>
      </c>
      <c r="E108" s="84">
        <f t="shared" si="36"/>
        <v>34</v>
      </c>
      <c r="F108" s="84">
        <f t="shared" si="36"/>
        <v>16</v>
      </c>
      <c r="G108" s="46">
        <f t="shared" si="36"/>
        <v>21</v>
      </c>
      <c r="H108" s="46">
        <f t="shared" si="36"/>
        <v>13</v>
      </c>
      <c r="I108" s="84">
        <f t="shared" si="36"/>
        <v>34</v>
      </c>
      <c r="J108" s="84">
        <f t="shared" si="36"/>
        <v>37</v>
      </c>
      <c r="K108" s="83">
        <f t="shared" si="36"/>
        <v>0</v>
      </c>
      <c r="L108" s="83">
        <f t="shared" si="36"/>
        <v>64</v>
      </c>
      <c r="M108" s="83">
        <f t="shared" si="36"/>
        <v>54</v>
      </c>
      <c r="N108" s="50"/>
      <c r="O108" s="20">
        <f t="shared" si="35"/>
        <v>449.87</v>
      </c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>
      <c r="C109" s="2"/>
      <c r="D109" s="2"/>
      <c r="E109" s="2"/>
      <c r="F109" s="2"/>
      <c r="G109" s="91"/>
      <c r="H109" s="91"/>
      <c r="I109" s="2"/>
      <c r="J109" s="2"/>
      <c r="O109" s="17">
        <f t="shared" si="35"/>
        <v>0</v>
      </c>
    </row>
    <row r="110">
      <c r="A110" s="80">
        <v>45980.0</v>
      </c>
      <c r="B110" s="50"/>
      <c r="C110" s="74"/>
      <c r="D110" s="74"/>
      <c r="E110" s="74"/>
      <c r="F110" s="74"/>
      <c r="G110" s="91"/>
      <c r="H110" s="91"/>
      <c r="I110" s="74"/>
      <c r="J110" s="74"/>
      <c r="K110" s="50"/>
      <c r="L110" s="50"/>
      <c r="M110" s="50"/>
      <c r="N110" s="50"/>
      <c r="O110" s="17">
        <f t="shared" si="35"/>
        <v>0</v>
      </c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>
      <c r="A111" s="81" t="s">
        <v>14</v>
      </c>
      <c r="B111" s="81" t="s">
        <v>29</v>
      </c>
      <c r="C111" s="81" t="s">
        <v>30</v>
      </c>
      <c r="D111" s="81" t="s">
        <v>17</v>
      </c>
      <c r="E111" s="81" t="s">
        <v>31</v>
      </c>
      <c r="F111" s="81" t="s">
        <v>19</v>
      </c>
      <c r="G111" s="92" t="s">
        <v>20</v>
      </c>
      <c r="H111" s="92" t="s">
        <v>21</v>
      </c>
      <c r="I111" s="81" t="s">
        <v>22</v>
      </c>
      <c r="J111" s="81" t="s">
        <v>23</v>
      </c>
      <c r="K111" s="93" t="s">
        <v>24</v>
      </c>
      <c r="L111" s="81" t="s">
        <v>25</v>
      </c>
      <c r="M111" s="94" t="s">
        <v>53</v>
      </c>
      <c r="N111" s="50"/>
      <c r="O111" s="17">
        <f>sum(C111:M111)</f>
        <v>0</v>
      </c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>
      <c r="A112" s="82" t="s">
        <v>26</v>
      </c>
      <c r="B112" s="60">
        <v>57.0</v>
      </c>
      <c r="C112" s="73">
        <v>16.18</v>
      </c>
      <c r="D112" s="73">
        <v>9.0</v>
      </c>
      <c r="E112" s="73">
        <v>19.0</v>
      </c>
      <c r="F112" s="73">
        <v>8.0</v>
      </c>
      <c r="G112" s="86">
        <v>11.0</v>
      </c>
      <c r="H112" s="86">
        <v>10.0</v>
      </c>
      <c r="I112" s="73">
        <v>15.0</v>
      </c>
      <c r="J112" s="73">
        <v>18.0</v>
      </c>
      <c r="K112" s="95"/>
      <c r="L112" s="60">
        <v>34.0</v>
      </c>
      <c r="M112" s="60">
        <v>45.0</v>
      </c>
      <c r="N112" s="50"/>
      <c r="O112" s="17">
        <f t="shared" ref="O112:O116" si="37">sum(B112:M112)</f>
        <v>242.18</v>
      </c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>
      <c r="A113" s="82" t="s">
        <v>27</v>
      </c>
      <c r="B113" s="60">
        <v>82.0</v>
      </c>
      <c r="C113" s="73">
        <v>5.42</v>
      </c>
      <c r="D113" s="73">
        <v>52.0</v>
      </c>
      <c r="E113" s="73">
        <v>8.0</v>
      </c>
      <c r="F113" s="73">
        <v>5.0</v>
      </c>
      <c r="G113" s="86">
        <v>12.0</v>
      </c>
      <c r="H113" s="86">
        <v>3.0</v>
      </c>
      <c r="I113" s="73">
        <v>11.0</v>
      </c>
      <c r="J113" s="73">
        <v>9.0</v>
      </c>
      <c r="K113" s="95"/>
      <c r="L113" s="60">
        <v>0.0</v>
      </c>
      <c r="M113" s="60">
        <v>0.0</v>
      </c>
      <c r="N113" s="50"/>
      <c r="O113" s="76">
        <f t="shared" si="37"/>
        <v>187.42</v>
      </c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>
      <c r="A114" s="83" t="s">
        <v>28</v>
      </c>
      <c r="B114" s="84">
        <f t="shared" ref="B114:M114" si="38">SUM(B112:B113)</f>
        <v>139</v>
      </c>
      <c r="C114" s="84">
        <f t="shared" si="38"/>
        <v>21.6</v>
      </c>
      <c r="D114" s="84">
        <f t="shared" si="38"/>
        <v>61</v>
      </c>
      <c r="E114" s="84">
        <f t="shared" si="38"/>
        <v>27</v>
      </c>
      <c r="F114" s="84">
        <f t="shared" si="38"/>
        <v>13</v>
      </c>
      <c r="G114" s="46">
        <f t="shared" si="38"/>
        <v>23</v>
      </c>
      <c r="H114" s="46">
        <f t="shared" si="38"/>
        <v>13</v>
      </c>
      <c r="I114" s="84">
        <f t="shared" si="38"/>
        <v>26</v>
      </c>
      <c r="J114" s="84">
        <f t="shared" si="38"/>
        <v>27</v>
      </c>
      <c r="K114" s="83">
        <f t="shared" si="38"/>
        <v>0</v>
      </c>
      <c r="L114" s="83">
        <f t="shared" si="38"/>
        <v>34</v>
      </c>
      <c r="M114" s="83">
        <f t="shared" si="38"/>
        <v>45</v>
      </c>
      <c r="N114" s="50"/>
      <c r="O114" s="20">
        <f t="shared" si="37"/>
        <v>429.6</v>
      </c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>
      <c r="C115" s="2"/>
      <c r="D115" s="2"/>
      <c r="E115" s="2"/>
      <c r="F115" s="2"/>
      <c r="G115" s="91"/>
      <c r="H115" s="91"/>
      <c r="I115" s="2"/>
      <c r="J115" s="2"/>
      <c r="O115" s="17">
        <f t="shared" si="37"/>
        <v>0</v>
      </c>
    </row>
    <row r="116">
      <c r="A116" s="80">
        <v>45981.0</v>
      </c>
      <c r="B116" s="50"/>
      <c r="C116" s="74"/>
      <c r="D116" s="74"/>
      <c r="E116" s="74"/>
      <c r="F116" s="74"/>
      <c r="G116" s="91"/>
      <c r="H116" s="91"/>
      <c r="I116" s="74"/>
      <c r="J116" s="74"/>
      <c r="K116" s="50"/>
      <c r="L116" s="50"/>
      <c r="M116" s="50"/>
      <c r="N116" s="50"/>
      <c r="O116" s="17">
        <f t="shared" si="37"/>
        <v>0</v>
      </c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>
      <c r="A117" s="81" t="s">
        <v>14</v>
      </c>
      <c r="B117" s="81" t="s">
        <v>29</v>
      </c>
      <c r="C117" s="81" t="s">
        <v>30</v>
      </c>
      <c r="D117" s="81" t="s">
        <v>17</v>
      </c>
      <c r="E117" s="81" t="s">
        <v>31</v>
      </c>
      <c r="F117" s="81" t="s">
        <v>19</v>
      </c>
      <c r="G117" s="92" t="s">
        <v>20</v>
      </c>
      <c r="H117" s="92" t="s">
        <v>21</v>
      </c>
      <c r="I117" s="81" t="s">
        <v>22</v>
      </c>
      <c r="J117" s="81" t="s">
        <v>23</v>
      </c>
      <c r="K117" s="93" t="s">
        <v>24</v>
      </c>
      <c r="L117" s="81" t="s">
        <v>25</v>
      </c>
      <c r="M117" s="94" t="s">
        <v>53</v>
      </c>
      <c r="N117" s="50"/>
      <c r="O117" s="17">
        <f>sum(C117:M117)</f>
        <v>0</v>
      </c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>
      <c r="A118" s="82" t="s">
        <v>26</v>
      </c>
      <c r="B118" s="60">
        <v>48.0</v>
      </c>
      <c r="C118" s="73">
        <v>16.26</v>
      </c>
      <c r="D118" s="73">
        <v>8.0</v>
      </c>
      <c r="E118" s="73">
        <v>13.0</v>
      </c>
      <c r="F118" s="73">
        <v>4.0</v>
      </c>
      <c r="G118" s="86">
        <v>11.0</v>
      </c>
      <c r="H118" s="86">
        <v>8.0</v>
      </c>
      <c r="I118" s="73">
        <v>12.0</v>
      </c>
      <c r="J118" s="73">
        <v>22.0</v>
      </c>
      <c r="K118" s="95"/>
      <c r="L118" s="60">
        <v>52.0</v>
      </c>
      <c r="M118" s="60">
        <v>47.0</v>
      </c>
      <c r="N118" s="50"/>
      <c r="O118" s="17">
        <f t="shared" ref="O118:O122" si="39">sum(B118:M118)</f>
        <v>241.26</v>
      </c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>
      <c r="A119" s="82" t="s">
        <v>27</v>
      </c>
      <c r="B119" s="60">
        <v>84.0</v>
      </c>
      <c r="C119" s="73">
        <v>4.91</v>
      </c>
      <c r="D119" s="73">
        <v>0.0</v>
      </c>
      <c r="E119" s="73">
        <v>6.0</v>
      </c>
      <c r="F119" s="73">
        <v>3.0</v>
      </c>
      <c r="G119" s="86">
        <v>12.0</v>
      </c>
      <c r="H119" s="86">
        <v>14.0</v>
      </c>
      <c r="I119" s="73">
        <v>10.0</v>
      </c>
      <c r="J119" s="73">
        <v>8.0</v>
      </c>
      <c r="K119" s="95"/>
      <c r="L119" s="60">
        <v>0.0</v>
      </c>
      <c r="M119" s="60">
        <v>0.0</v>
      </c>
      <c r="N119" s="50"/>
      <c r="O119" s="76">
        <f t="shared" si="39"/>
        <v>141.91</v>
      </c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>
      <c r="A120" s="83" t="s">
        <v>28</v>
      </c>
      <c r="B120" s="84">
        <f t="shared" ref="B120:M120" si="40">SUM(B118:B119)</f>
        <v>132</v>
      </c>
      <c r="C120" s="84">
        <f t="shared" si="40"/>
        <v>21.17</v>
      </c>
      <c r="D120" s="84">
        <f t="shared" si="40"/>
        <v>8</v>
      </c>
      <c r="E120" s="84">
        <f t="shared" si="40"/>
        <v>19</v>
      </c>
      <c r="F120" s="84">
        <f t="shared" si="40"/>
        <v>7</v>
      </c>
      <c r="G120" s="46">
        <f t="shared" si="40"/>
        <v>23</v>
      </c>
      <c r="H120" s="46">
        <f t="shared" si="40"/>
        <v>22</v>
      </c>
      <c r="I120" s="84">
        <f t="shared" si="40"/>
        <v>22</v>
      </c>
      <c r="J120" s="84">
        <f t="shared" si="40"/>
        <v>30</v>
      </c>
      <c r="K120" s="83">
        <f t="shared" si="40"/>
        <v>0</v>
      </c>
      <c r="L120" s="83">
        <f t="shared" si="40"/>
        <v>52</v>
      </c>
      <c r="M120" s="83">
        <f t="shared" si="40"/>
        <v>47</v>
      </c>
      <c r="N120" s="50"/>
      <c r="O120" s="20">
        <f t="shared" si="39"/>
        <v>383.17</v>
      </c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>
      <c r="C121" s="2"/>
      <c r="D121" s="2"/>
      <c r="E121" s="2"/>
      <c r="F121" s="2"/>
      <c r="G121" s="91"/>
      <c r="H121" s="91"/>
      <c r="I121" s="2"/>
      <c r="J121" s="2"/>
      <c r="O121" s="17">
        <f t="shared" si="39"/>
        <v>0</v>
      </c>
    </row>
    <row r="122">
      <c r="A122" s="80">
        <v>45982.0</v>
      </c>
      <c r="B122" s="50"/>
      <c r="C122" s="74"/>
      <c r="D122" s="74"/>
      <c r="E122" s="74"/>
      <c r="F122" s="74"/>
      <c r="G122" s="91"/>
      <c r="H122" s="91"/>
      <c r="I122" s="74"/>
      <c r="J122" s="74"/>
      <c r="K122" s="50"/>
      <c r="L122" s="50"/>
      <c r="M122" s="50"/>
      <c r="N122" s="50"/>
      <c r="O122" s="17">
        <f t="shared" si="39"/>
        <v>0</v>
      </c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>
      <c r="A123" s="81" t="s">
        <v>14</v>
      </c>
      <c r="B123" s="81" t="s">
        <v>29</v>
      </c>
      <c r="C123" s="81" t="s">
        <v>30</v>
      </c>
      <c r="D123" s="81" t="s">
        <v>17</v>
      </c>
      <c r="E123" s="81" t="s">
        <v>31</v>
      </c>
      <c r="F123" s="81" t="s">
        <v>19</v>
      </c>
      <c r="G123" s="92" t="s">
        <v>20</v>
      </c>
      <c r="H123" s="92" t="s">
        <v>21</v>
      </c>
      <c r="I123" s="81" t="s">
        <v>22</v>
      </c>
      <c r="J123" s="81" t="s">
        <v>23</v>
      </c>
      <c r="K123" s="93" t="s">
        <v>24</v>
      </c>
      <c r="L123" s="81" t="s">
        <v>25</v>
      </c>
      <c r="M123" s="94" t="s">
        <v>53</v>
      </c>
      <c r="N123" s="50"/>
      <c r="O123" s="17">
        <f>sum(C123:M123)</f>
        <v>0</v>
      </c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>
      <c r="A124" s="82" t="s">
        <v>26</v>
      </c>
      <c r="B124" s="60">
        <v>47.0</v>
      </c>
      <c r="C124" s="73">
        <v>18.96</v>
      </c>
      <c r="D124" s="73">
        <v>7.0</v>
      </c>
      <c r="E124" s="73">
        <v>14.0</v>
      </c>
      <c r="F124" s="73">
        <v>8.0</v>
      </c>
      <c r="G124" s="86">
        <v>8.0</v>
      </c>
      <c r="H124" s="86">
        <v>9.0</v>
      </c>
      <c r="I124" s="73">
        <v>18.0</v>
      </c>
      <c r="J124" s="73">
        <v>19.0</v>
      </c>
      <c r="K124" s="95"/>
      <c r="L124" s="60">
        <v>37.0</v>
      </c>
      <c r="M124" s="60">
        <v>41.0</v>
      </c>
      <c r="N124" s="50"/>
      <c r="O124" s="17">
        <f t="shared" ref="O124:O128" si="41">sum(B124:M124)</f>
        <v>226.96</v>
      </c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>
      <c r="A125" s="82" t="s">
        <v>27</v>
      </c>
      <c r="B125" s="60">
        <v>72.0</v>
      </c>
      <c r="C125" s="73">
        <v>6.41</v>
      </c>
      <c r="D125" s="73">
        <v>0.0</v>
      </c>
      <c r="E125" s="73">
        <v>3.0</v>
      </c>
      <c r="F125" s="73">
        <v>2.0</v>
      </c>
      <c r="G125" s="86">
        <v>13.0</v>
      </c>
      <c r="H125" s="86">
        <v>14.0</v>
      </c>
      <c r="I125" s="73">
        <v>14.0</v>
      </c>
      <c r="J125" s="73">
        <v>10.0</v>
      </c>
      <c r="K125" s="95"/>
      <c r="L125" s="60">
        <v>0.0</v>
      </c>
      <c r="M125" s="60">
        <v>0.0</v>
      </c>
      <c r="N125" s="50"/>
      <c r="O125" s="76">
        <f t="shared" si="41"/>
        <v>134.41</v>
      </c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>
      <c r="A126" s="83" t="s">
        <v>28</v>
      </c>
      <c r="B126" s="84">
        <f t="shared" ref="B126:M126" si="42">SUM(B124:B125)</f>
        <v>119</v>
      </c>
      <c r="C126" s="84">
        <f t="shared" si="42"/>
        <v>25.37</v>
      </c>
      <c r="D126" s="84">
        <f t="shared" si="42"/>
        <v>7</v>
      </c>
      <c r="E126" s="84">
        <f t="shared" si="42"/>
        <v>17</v>
      </c>
      <c r="F126" s="84">
        <f t="shared" si="42"/>
        <v>10</v>
      </c>
      <c r="G126" s="46">
        <f t="shared" si="42"/>
        <v>21</v>
      </c>
      <c r="H126" s="46">
        <f t="shared" si="42"/>
        <v>23</v>
      </c>
      <c r="I126" s="84">
        <f t="shared" si="42"/>
        <v>32</v>
      </c>
      <c r="J126" s="84">
        <f t="shared" si="42"/>
        <v>29</v>
      </c>
      <c r="K126" s="83">
        <f t="shared" si="42"/>
        <v>0</v>
      </c>
      <c r="L126" s="83">
        <f t="shared" si="42"/>
        <v>37</v>
      </c>
      <c r="M126" s="83">
        <f t="shared" si="42"/>
        <v>41</v>
      </c>
      <c r="N126" s="50"/>
      <c r="O126" s="20">
        <f t="shared" si="41"/>
        <v>361.37</v>
      </c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>
      <c r="C127" s="2"/>
      <c r="D127" s="2"/>
      <c r="E127" s="2"/>
      <c r="F127" s="2"/>
      <c r="G127" s="91"/>
      <c r="H127" s="91"/>
      <c r="I127" s="2"/>
      <c r="J127" s="2"/>
      <c r="O127" s="17">
        <f t="shared" si="41"/>
        <v>0</v>
      </c>
    </row>
    <row r="128">
      <c r="A128" s="80">
        <v>45983.0</v>
      </c>
      <c r="B128" s="50"/>
      <c r="C128" s="74"/>
      <c r="D128" s="74"/>
      <c r="E128" s="74"/>
      <c r="F128" s="74"/>
      <c r="G128" s="91"/>
      <c r="H128" s="91"/>
      <c r="I128" s="74"/>
      <c r="J128" s="74"/>
      <c r="K128" s="50"/>
      <c r="L128" s="50"/>
      <c r="M128" s="50"/>
      <c r="N128" s="50"/>
      <c r="O128" s="17">
        <f t="shared" si="41"/>
        <v>0</v>
      </c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>
      <c r="A129" s="81" t="s">
        <v>14</v>
      </c>
      <c r="B129" s="81" t="s">
        <v>29</v>
      </c>
      <c r="C129" s="81" t="s">
        <v>30</v>
      </c>
      <c r="D129" s="81" t="s">
        <v>17</v>
      </c>
      <c r="E129" s="81" t="s">
        <v>31</v>
      </c>
      <c r="F129" s="81" t="s">
        <v>19</v>
      </c>
      <c r="G129" s="92" t="s">
        <v>20</v>
      </c>
      <c r="H129" s="92" t="s">
        <v>21</v>
      </c>
      <c r="I129" s="81" t="s">
        <v>22</v>
      </c>
      <c r="J129" s="81" t="s">
        <v>23</v>
      </c>
      <c r="K129" s="93" t="s">
        <v>24</v>
      </c>
      <c r="L129" s="81" t="s">
        <v>25</v>
      </c>
      <c r="M129" s="94" t="s">
        <v>53</v>
      </c>
      <c r="N129" s="50"/>
      <c r="O129" s="17">
        <f>sum(C129:M129)</f>
        <v>0</v>
      </c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>
      <c r="A130" s="82" t="s">
        <v>26</v>
      </c>
      <c r="B130" s="60">
        <v>42.0</v>
      </c>
      <c r="C130" s="73">
        <v>14.99</v>
      </c>
      <c r="D130" s="73">
        <v>10.0</v>
      </c>
      <c r="E130" s="73">
        <v>12.0</v>
      </c>
      <c r="F130" s="73">
        <v>4.0</v>
      </c>
      <c r="G130" s="86">
        <v>8.0</v>
      </c>
      <c r="H130" s="86">
        <v>10.0</v>
      </c>
      <c r="I130" s="73">
        <v>12.0</v>
      </c>
      <c r="J130" s="73">
        <v>25.0</v>
      </c>
      <c r="K130" s="95"/>
      <c r="L130" s="60">
        <v>27.0</v>
      </c>
      <c r="M130" s="60">
        <v>51.0</v>
      </c>
      <c r="N130" s="50"/>
      <c r="O130" s="17">
        <f t="shared" ref="O130:O134" si="43">sum(B130:M130)</f>
        <v>215.99</v>
      </c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>
      <c r="A131" s="82" t="s">
        <v>27</v>
      </c>
      <c r="B131" s="60">
        <v>108.0</v>
      </c>
      <c r="C131" s="73">
        <v>9.0</v>
      </c>
      <c r="D131" s="73">
        <v>0.0</v>
      </c>
      <c r="E131" s="73">
        <v>4.0</v>
      </c>
      <c r="F131" s="73">
        <v>6.0</v>
      </c>
      <c r="G131" s="86">
        <v>12.0</v>
      </c>
      <c r="H131" s="86">
        <v>4.0</v>
      </c>
      <c r="I131" s="73">
        <v>10.0</v>
      </c>
      <c r="J131" s="73">
        <v>11.0</v>
      </c>
      <c r="K131" s="95"/>
      <c r="L131" s="60">
        <v>0.0</v>
      </c>
      <c r="M131" s="60">
        <v>0.0</v>
      </c>
      <c r="N131" s="50"/>
      <c r="O131" s="76">
        <f t="shared" si="43"/>
        <v>164</v>
      </c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>
      <c r="A132" s="83" t="s">
        <v>28</v>
      </c>
      <c r="B132" s="84">
        <f t="shared" ref="B132:M132" si="44">SUM(B130:B131)</f>
        <v>150</v>
      </c>
      <c r="C132" s="84">
        <f t="shared" si="44"/>
        <v>23.99</v>
      </c>
      <c r="D132" s="84">
        <f t="shared" si="44"/>
        <v>10</v>
      </c>
      <c r="E132" s="84">
        <f t="shared" si="44"/>
        <v>16</v>
      </c>
      <c r="F132" s="84">
        <f t="shared" si="44"/>
        <v>10</v>
      </c>
      <c r="G132" s="46">
        <f t="shared" si="44"/>
        <v>20</v>
      </c>
      <c r="H132" s="46">
        <f t="shared" si="44"/>
        <v>14</v>
      </c>
      <c r="I132" s="84">
        <f t="shared" si="44"/>
        <v>22</v>
      </c>
      <c r="J132" s="84">
        <f t="shared" si="44"/>
        <v>36</v>
      </c>
      <c r="K132" s="83">
        <f t="shared" si="44"/>
        <v>0</v>
      </c>
      <c r="L132" s="83">
        <f t="shared" si="44"/>
        <v>27</v>
      </c>
      <c r="M132" s="83">
        <f t="shared" si="44"/>
        <v>51</v>
      </c>
      <c r="N132" s="50"/>
      <c r="O132" s="20">
        <f t="shared" si="43"/>
        <v>379.99</v>
      </c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>
      <c r="C133" s="2"/>
      <c r="D133" s="2"/>
      <c r="E133" s="2"/>
      <c r="F133" s="2"/>
      <c r="G133" s="91"/>
      <c r="H133" s="91"/>
      <c r="I133" s="2"/>
      <c r="J133" s="2"/>
      <c r="O133" s="17">
        <f t="shared" si="43"/>
        <v>0</v>
      </c>
    </row>
    <row r="134">
      <c r="A134" s="80">
        <v>45984.0</v>
      </c>
      <c r="B134" s="50"/>
      <c r="C134" s="74"/>
      <c r="D134" s="74"/>
      <c r="E134" s="74"/>
      <c r="F134" s="74"/>
      <c r="G134" s="91"/>
      <c r="H134" s="91"/>
      <c r="I134" s="74"/>
      <c r="J134" s="74"/>
      <c r="K134" s="50"/>
      <c r="L134" s="50"/>
      <c r="M134" s="50"/>
      <c r="N134" s="50"/>
      <c r="O134" s="17">
        <f t="shared" si="43"/>
        <v>0</v>
      </c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>
      <c r="A135" s="81" t="s">
        <v>14</v>
      </c>
      <c r="B135" s="81" t="s">
        <v>29</v>
      </c>
      <c r="C135" s="81" t="s">
        <v>30</v>
      </c>
      <c r="D135" s="81" t="s">
        <v>17</v>
      </c>
      <c r="E135" s="81" t="s">
        <v>31</v>
      </c>
      <c r="F135" s="81" t="s">
        <v>19</v>
      </c>
      <c r="G135" s="92" t="s">
        <v>20</v>
      </c>
      <c r="H135" s="92" t="s">
        <v>21</v>
      </c>
      <c r="I135" s="81" t="s">
        <v>22</v>
      </c>
      <c r="J135" s="81" t="s">
        <v>23</v>
      </c>
      <c r="K135" s="93" t="s">
        <v>24</v>
      </c>
      <c r="L135" s="81" t="s">
        <v>25</v>
      </c>
      <c r="M135" s="94" t="s">
        <v>53</v>
      </c>
      <c r="N135" s="50"/>
      <c r="O135" s="17">
        <f>sum(C135:M135)</f>
        <v>0</v>
      </c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>
      <c r="A136" s="82" t="s">
        <v>26</v>
      </c>
      <c r="B136" s="60">
        <v>22.0</v>
      </c>
      <c r="C136" s="73">
        <v>12.36</v>
      </c>
      <c r="D136" s="73">
        <v>12.0</v>
      </c>
      <c r="E136" s="73">
        <v>11.0</v>
      </c>
      <c r="F136" s="73">
        <v>9.0</v>
      </c>
      <c r="G136" s="86">
        <v>8.0</v>
      </c>
      <c r="H136" s="86">
        <v>10.0</v>
      </c>
      <c r="I136" s="73">
        <v>6.0</v>
      </c>
      <c r="J136" s="73">
        <v>20.0</v>
      </c>
      <c r="K136" s="95"/>
      <c r="L136" s="60">
        <v>0.0</v>
      </c>
      <c r="M136" s="60">
        <v>52.0</v>
      </c>
      <c r="N136" s="50"/>
      <c r="O136" s="17">
        <f t="shared" ref="O136:O140" si="45">sum(B136:M136)</f>
        <v>162.36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>
      <c r="A137" s="82" t="s">
        <v>27</v>
      </c>
      <c r="B137" s="60">
        <v>62.0</v>
      </c>
      <c r="C137" s="73">
        <v>5.28</v>
      </c>
      <c r="D137" s="73">
        <v>0.0</v>
      </c>
      <c r="E137" s="73">
        <v>5.0</v>
      </c>
      <c r="F137" s="73">
        <v>3.0</v>
      </c>
      <c r="G137" s="86">
        <v>13.0</v>
      </c>
      <c r="H137" s="86">
        <v>10.0</v>
      </c>
      <c r="I137" s="73">
        <v>5.0</v>
      </c>
      <c r="J137" s="73">
        <v>4.0</v>
      </c>
      <c r="K137" s="95"/>
      <c r="L137" s="60">
        <v>0.0</v>
      </c>
      <c r="M137" s="60">
        <v>0.0</v>
      </c>
      <c r="N137" s="50"/>
      <c r="O137" s="76">
        <f t="shared" si="45"/>
        <v>107.28</v>
      </c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>
      <c r="A138" s="83" t="s">
        <v>28</v>
      </c>
      <c r="B138" s="84">
        <f t="shared" ref="B138:M138" si="46">SUM(B136:B137)</f>
        <v>84</v>
      </c>
      <c r="C138" s="84">
        <f t="shared" si="46"/>
        <v>17.64</v>
      </c>
      <c r="D138" s="84">
        <f t="shared" si="46"/>
        <v>12</v>
      </c>
      <c r="E138" s="84">
        <f t="shared" si="46"/>
        <v>16</v>
      </c>
      <c r="F138" s="84">
        <f t="shared" si="46"/>
        <v>12</v>
      </c>
      <c r="G138" s="46">
        <f t="shared" si="46"/>
        <v>21</v>
      </c>
      <c r="H138" s="46">
        <f t="shared" si="46"/>
        <v>20</v>
      </c>
      <c r="I138" s="84">
        <f t="shared" si="46"/>
        <v>11</v>
      </c>
      <c r="J138" s="84">
        <f t="shared" si="46"/>
        <v>24</v>
      </c>
      <c r="K138" s="83">
        <f t="shared" si="46"/>
        <v>0</v>
      </c>
      <c r="L138" s="83">
        <f t="shared" si="46"/>
        <v>0</v>
      </c>
      <c r="M138" s="83">
        <f t="shared" si="46"/>
        <v>52</v>
      </c>
      <c r="N138" s="50"/>
      <c r="O138" s="20">
        <f t="shared" si="45"/>
        <v>269.64</v>
      </c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>
      <c r="C139" s="2"/>
      <c r="D139" s="2"/>
      <c r="E139" s="2"/>
      <c r="F139" s="2"/>
      <c r="G139" s="91"/>
      <c r="H139" s="91"/>
      <c r="I139" s="2"/>
      <c r="J139" s="2"/>
      <c r="O139" s="17">
        <f t="shared" si="45"/>
        <v>0</v>
      </c>
    </row>
    <row r="140">
      <c r="A140" s="80">
        <v>45985.0</v>
      </c>
      <c r="B140" s="50"/>
      <c r="C140" s="74"/>
      <c r="D140" s="74"/>
      <c r="E140" s="74"/>
      <c r="F140" s="74"/>
      <c r="G140" s="91"/>
      <c r="H140" s="91"/>
      <c r="I140" s="74"/>
      <c r="J140" s="74"/>
      <c r="K140" s="50"/>
      <c r="L140" s="50"/>
      <c r="M140" s="50"/>
      <c r="N140" s="50"/>
      <c r="O140" s="17">
        <f t="shared" si="45"/>
        <v>0</v>
      </c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>
      <c r="A141" s="81" t="s">
        <v>14</v>
      </c>
      <c r="B141" s="81" t="s">
        <v>29</v>
      </c>
      <c r="C141" s="81" t="s">
        <v>30</v>
      </c>
      <c r="D141" s="81" t="s">
        <v>17</v>
      </c>
      <c r="E141" s="81" t="s">
        <v>31</v>
      </c>
      <c r="F141" s="81" t="s">
        <v>19</v>
      </c>
      <c r="G141" s="92" t="s">
        <v>20</v>
      </c>
      <c r="H141" s="92" t="s">
        <v>21</v>
      </c>
      <c r="I141" s="81" t="s">
        <v>22</v>
      </c>
      <c r="J141" s="81" t="s">
        <v>23</v>
      </c>
      <c r="K141" s="93" t="s">
        <v>24</v>
      </c>
      <c r="L141" s="81" t="s">
        <v>25</v>
      </c>
      <c r="M141" s="94" t="s">
        <v>53</v>
      </c>
      <c r="N141" s="50"/>
      <c r="O141" s="17">
        <f>sum(C141:M141)</f>
        <v>0</v>
      </c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>
      <c r="A142" s="82" t="s">
        <v>26</v>
      </c>
      <c r="B142" s="60">
        <v>36.0</v>
      </c>
      <c r="C142" s="73">
        <v>15.717</v>
      </c>
      <c r="D142" s="73">
        <v>10.0</v>
      </c>
      <c r="E142" s="73">
        <v>10.0</v>
      </c>
      <c r="F142" s="73">
        <v>9.0</v>
      </c>
      <c r="G142" s="86">
        <v>13.0</v>
      </c>
      <c r="H142" s="86">
        <v>7.0</v>
      </c>
      <c r="I142" s="73">
        <v>9.0</v>
      </c>
      <c r="J142" s="73">
        <v>35.0</v>
      </c>
      <c r="K142" s="95"/>
      <c r="L142" s="60">
        <v>58.0</v>
      </c>
      <c r="M142" s="60">
        <v>45.0</v>
      </c>
      <c r="N142" s="50"/>
      <c r="O142" s="17">
        <f t="shared" ref="O142:O146" si="47">sum(B142:M142)</f>
        <v>247.717</v>
      </c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>
      <c r="A143" s="82" t="s">
        <v>27</v>
      </c>
      <c r="B143" s="60">
        <v>80.0</v>
      </c>
      <c r="C143" s="73">
        <v>4.38</v>
      </c>
      <c r="D143" s="73">
        <v>38.0</v>
      </c>
      <c r="E143" s="73">
        <v>4.0</v>
      </c>
      <c r="F143" s="73">
        <v>3.0</v>
      </c>
      <c r="G143" s="86">
        <v>10.0</v>
      </c>
      <c r="H143" s="86">
        <v>7.0</v>
      </c>
      <c r="I143" s="73">
        <v>6.0</v>
      </c>
      <c r="J143" s="73">
        <v>13.0</v>
      </c>
      <c r="K143" s="95"/>
      <c r="L143" s="60">
        <v>0.0</v>
      </c>
      <c r="M143" s="60">
        <v>0.0</v>
      </c>
      <c r="N143" s="50"/>
      <c r="O143" s="76">
        <f t="shared" si="47"/>
        <v>165.38</v>
      </c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>
      <c r="A144" s="83" t="s">
        <v>28</v>
      </c>
      <c r="B144" s="84">
        <f t="shared" ref="B144:L144" si="48">SUM(B142:B143)</f>
        <v>116</v>
      </c>
      <c r="C144" s="84">
        <f t="shared" si="48"/>
        <v>20.097</v>
      </c>
      <c r="D144" s="84">
        <f t="shared" si="48"/>
        <v>48</v>
      </c>
      <c r="E144" s="84">
        <f t="shared" si="48"/>
        <v>14</v>
      </c>
      <c r="F144" s="84">
        <f t="shared" si="48"/>
        <v>12</v>
      </c>
      <c r="G144" s="46">
        <f t="shared" si="48"/>
        <v>23</v>
      </c>
      <c r="H144" s="46">
        <f t="shared" si="48"/>
        <v>14</v>
      </c>
      <c r="I144" s="84">
        <f t="shared" si="48"/>
        <v>15</v>
      </c>
      <c r="J144" s="84">
        <f t="shared" si="48"/>
        <v>48</v>
      </c>
      <c r="K144" s="83">
        <f t="shared" si="48"/>
        <v>0</v>
      </c>
      <c r="L144" s="83">
        <f t="shared" si="48"/>
        <v>58</v>
      </c>
      <c r="M144" s="83"/>
      <c r="N144" s="50"/>
      <c r="O144" s="20">
        <f t="shared" si="47"/>
        <v>368.097</v>
      </c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>
      <c r="C145" s="2"/>
      <c r="D145" s="2"/>
      <c r="E145" s="2"/>
      <c r="F145" s="2"/>
      <c r="G145" s="91"/>
      <c r="H145" s="91"/>
      <c r="I145" s="2"/>
      <c r="J145" s="2"/>
      <c r="O145" s="17">
        <f t="shared" si="47"/>
        <v>0</v>
      </c>
    </row>
    <row r="146">
      <c r="A146" s="80">
        <v>45986.0</v>
      </c>
      <c r="B146" s="50"/>
      <c r="C146" s="74"/>
      <c r="D146" s="74"/>
      <c r="E146" s="74"/>
      <c r="F146" s="74"/>
      <c r="G146" s="91"/>
      <c r="H146" s="91"/>
      <c r="I146" s="74"/>
      <c r="J146" s="74"/>
      <c r="K146" s="50"/>
      <c r="L146" s="50"/>
      <c r="M146" s="50"/>
      <c r="N146" s="50"/>
      <c r="O146" s="17">
        <f t="shared" si="47"/>
        <v>0</v>
      </c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>
      <c r="A147" s="81" t="s">
        <v>14</v>
      </c>
      <c r="B147" s="81" t="s">
        <v>29</v>
      </c>
      <c r="C147" s="81" t="s">
        <v>30</v>
      </c>
      <c r="D147" s="81" t="s">
        <v>17</v>
      </c>
      <c r="E147" s="81" t="s">
        <v>31</v>
      </c>
      <c r="F147" s="81" t="s">
        <v>19</v>
      </c>
      <c r="G147" s="92" t="s">
        <v>20</v>
      </c>
      <c r="H147" s="92" t="s">
        <v>21</v>
      </c>
      <c r="I147" s="81" t="s">
        <v>22</v>
      </c>
      <c r="J147" s="81" t="s">
        <v>23</v>
      </c>
      <c r="K147" s="93" t="s">
        <v>24</v>
      </c>
      <c r="L147" s="81" t="s">
        <v>25</v>
      </c>
      <c r="M147" s="94" t="s">
        <v>53</v>
      </c>
      <c r="N147" s="50"/>
      <c r="O147" s="17">
        <f>sum(C147:M147)</f>
        <v>0</v>
      </c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>
      <c r="A148" s="82" t="s">
        <v>26</v>
      </c>
      <c r="B148" s="60">
        <v>41.0</v>
      </c>
      <c r="C148" s="73">
        <v>16.61</v>
      </c>
      <c r="D148" s="73">
        <v>11.0</v>
      </c>
      <c r="E148" s="73">
        <v>5.0</v>
      </c>
      <c r="F148" s="73">
        <v>6.0</v>
      </c>
      <c r="G148" s="86">
        <v>10.0</v>
      </c>
      <c r="H148" s="86">
        <v>9.0</v>
      </c>
      <c r="I148" s="73">
        <v>12.0</v>
      </c>
      <c r="J148" s="73">
        <v>20.0</v>
      </c>
      <c r="K148" s="95"/>
      <c r="L148" s="60">
        <v>42.0</v>
      </c>
      <c r="M148" s="60">
        <v>40.0</v>
      </c>
      <c r="N148" s="50"/>
      <c r="O148" s="17">
        <f t="shared" ref="O148:O152" si="49">sum(B148:M148)</f>
        <v>212.61</v>
      </c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>
      <c r="A149" s="82" t="s">
        <v>27</v>
      </c>
      <c r="B149" s="60">
        <v>90.0</v>
      </c>
      <c r="C149" s="73">
        <v>5.28</v>
      </c>
      <c r="D149" s="73">
        <v>0.0</v>
      </c>
      <c r="E149" s="73">
        <v>3.0</v>
      </c>
      <c r="F149" s="73">
        <v>4.0</v>
      </c>
      <c r="G149" s="86">
        <v>15.0</v>
      </c>
      <c r="H149" s="86">
        <v>6.0</v>
      </c>
      <c r="I149" s="73">
        <v>12.0</v>
      </c>
      <c r="J149" s="73">
        <v>5.0</v>
      </c>
      <c r="K149" s="95"/>
      <c r="L149" s="60">
        <v>0.0</v>
      </c>
      <c r="M149" s="60">
        <v>0.0</v>
      </c>
      <c r="N149" s="50"/>
      <c r="O149" s="76">
        <f t="shared" si="49"/>
        <v>140.28</v>
      </c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>
      <c r="A150" s="83" t="s">
        <v>28</v>
      </c>
      <c r="B150" s="84">
        <f t="shared" ref="B150:M150" si="50">SUM(B148:B149)</f>
        <v>131</v>
      </c>
      <c r="C150" s="84">
        <f t="shared" si="50"/>
        <v>21.89</v>
      </c>
      <c r="D150" s="84">
        <f t="shared" si="50"/>
        <v>11</v>
      </c>
      <c r="E150" s="84">
        <f t="shared" si="50"/>
        <v>8</v>
      </c>
      <c r="F150" s="84">
        <f t="shared" si="50"/>
        <v>10</v>
      </c>
      <c r="G150" s="46">
        <f t="shared" si="50"/>
        <v>25</v>
      </c>
      <c r="H150" s="46">
        <f t="shared" si="50"/>
        <v>15</v>
      </c>
      <c r="I150" s="84">
        <f t="shared" si="50"/>
        <v>24</v>
      </c>
      <c r="J150" s="84">
        <f t="shared" si="50"/>
        <v>25</v>
      </c>
      <c r="K150" s="83">
        <f t="shared" si="50"/>
        <v>0</v>
      </c>
      <c r="L150" s="83">
        <f t="shared" si="50"/>
        <v>42</v>
      </c>
      <c r="M150" s="83">
        <f t="shared" si="50"/>
        <v>40</v>
      </c>
      <c r="N150" s="50"/>
      <c r="O150" s="20">
        <f t="shared" si="49"/>
        <v>352.89</v>
      </c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>
      <c r="C151" s="2"/>
      <c r="D151" s="2"/>
      <c r="E151" s="2"/>
      <c r="F151" s="2"/>
      <c r="G151" s="91"/>
      <c r="H151" s="91"/>
      <c r="I151" s="2"/>
      <c r="J151" s="2"/>
      <c r="O151" s="17">
        <f t="shared" si="49"/>
        <v>0</v>
      </c>
    </row>
    <row r="152">
      <c r="A152" s="80">
        <v>45987.0</v>
      </c>
      <c r="B152" s="50"/>
      <c r="C152" s="74"/>
      <c r="D152" s="74"/>
      <c r="E152" s="74"/>
      <c r="F152" s="74"/>
      <c r="G152" s="91"/>
      <c r="H152" s="91"/>
      <c r="I152" s="74"/>
      <c r="J152" s="74"/>
      <c r="K152" s="50"/>
      <c r="L152" s="50"/>
      <c r="M152" s="50"/>
      <c r="N152" s="50"/>
      <c r="O152" s="17">
        <f t="shared" si="49"/>
        <v>0</v>
      </c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>
      <c r="A153" s="81" t="s">
        <v>14</v>
      </c>
      <c r="B153" s="81" t="s">
        <v>29</v>
      </c>
      <c r="C153" s="81" t="s">
        <v>30</v>
      </c>
      <c r="D153" s="81" t="s">
        <v>17</v>
      </c>
      <c r="E153" s="81" t="s">
        <v>31</v>
      </c>
      <c r="F153" s="81" t="s">
        <v>19</v>
      </c>
      <c r="G153" s="92" t="s">
        <v>20</v>
      </c>
      <c r="H153" s="92" t="s">
        <v>21</v>
      </c>
      <c r="I153" s="81" t="s">
        <v>22</v>
      </c>
      <c r="J153" s="81" t="s">
        <v>23</v>
      </c>
      <c r="K153" s="93" t="s">
        <v>24</v>
      </c>
      <c r="L153" s="81" t="s">
        <v>25</v>
      </c>
      <c r="M153" s="94" t="s">
        <v>53</v>
      </c>
      <c r="N153" s="50"/>
      <c r="O153" s="17">
        <f>sum(C153:M153)</f>
        <v>0</v>
      </c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>
      <c r="A154" s="82" t="s">
        <v>26</v>
      </c>
      <c r="B154" s="60">
        <v>41.0</v>
      </c>
      <c r="C154" s="73">
        <v>16.27</v>
      </c>
      <c r="D154" s="73">
        <v>11.0</v>
      </c>
      <c r="E154" s="73">
        <v>6.0</v>
      </c>
      <c r="F154" s="73">
        <v>20.0</v>
      </c>
      <c r="G154" s="86">
        <v>11.0</v>
      </c>
      <c r="H154" s="86">
        <v>9.0</v>
      </c>
      <c r="I154" s="73">
        <v>7.0</v>
      </c>
      <c r="J154" s="73">
        <v>18.0</v>
      </c>
      <c r="K154" s="95"/>
      <c r="L154" s="60">
        <v>26.0</v>
      </c>
      <c r="M154" s="60">
        <v>55.0</v>
      </c>
      <c r="N154" s="50"/>
      <c r="O154" s="17">
        <f t="shared" ref="O154:O158" si="51">sum(B154:M154)</f>
        <v>220.27</v>
      </c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>
      <c r="A155" s="82" t="s">
        <v>27</v>
      </c>
      <c r="B155" s="60">
        <v>90.0</v>
      </c>
      <c r="C155" s="73">
        <v>5.84</v>
      </c>
      <c r="D155" s="73">
        <v>0.0</v>
      </c>
      <c r="E155" s="73">
        <v>4.0</v>
      </c>
      <c r="F155" s="73">
        <v>8.0</v>
      </c>
      <c r="G155" s="86">
        <v>14.0</v>
      </c>
      <c r="H155" s="86">
        <v>8.0</v>
      </c>
      <c r="I155" s="73">
        <v>5.0</v>
      </c>
      <c r="J155" s="73">
        <v>10.0</v>
      </c>
      <c r="K155" s="95"/>
      <c r="L155" s="60">
        <v>0.0</v>
      </c>
      <c r="M155" s="60">
        <v>0.0</v>
      </c>
      <c r="N155" s="50"/>
      <c r="O155" s="76">
        <f t="shared" si="51"/>
        <v>144.84</v>
      </c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>
      <c r="A156" s="83" t="s">
        <v>28</v>
      </c>
      <c r="B156" s="84">
        <f t="shared" ref="B156:M156" si="52">SUM(B154:B155)</f>
        <v>131</v>
      </c>
      <c r="C156" s="84">
        <f t="shared" si="52"/>
        <v>22.11</v>
      </c>
      <c r="D156" s="84">
        <f t="shared" si="52"/>
        <v>11</v>
      </c>
      <c r="E156" s="84">
        <f t="shared" si="52"/>
        <v>10</v>
      </c>
      <c r="F156" s="84">
        <f t="shared" si="52"/>
        <v>28</v>
      </c>
      <c r="G156" s="46">
        <f t="shared" si="52"/>
        <v>25</v>
      </c>
      <c r="H156" s="46">
        <f t="shared" si="52"/>
        <v>17</v>
      </c>
      <c r="I156" s="84">
        <f t="shared" si="52"/>
        <v>12</v>
      </c>
      <c r="J156" s="84">
        <f t="shared" si="52"/>
        <v>28</v>
      </c>
      <c r="K156" s="83">
        <f t="shared" si="52"/>
        <v>0</v>
      </c>
      <c r="L156" s="83">
        <f t="shared" si="52"/>
        <v>26</v>
      </c>
      <c r="M156" s="83">
        <f t="shared" si="52"/>
        <v>55</v>
      </c>
      <c r="N156" s="50"/>
      <c r="O156" s="20">
        <f t="shared" si="51"/>
        <v>365.11</v>
      </c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>
      <c r="C157" s="2"/>
      <c r="D157" s="2"/>
      <c r="E157" s="2"/>
      <c r="F157" s="2"/>
      <c r="G157" s="91"/>
      <c r="H157" s="91"/>
      <c r="I157" s="2"/>
      <c r="J157" s="2"/>
      <c r="O157" s="17">
        <f t="shared" si="51"/>
        <v>0</v>
      </c>
    </row>
    <row r="158">
      <c r="A158" s="80">
        <v>45988.0</v>
      </c>
      <c r="B158" s="50"/>
      <c r="C158" s="74"/>
      <c r="D158" s="74"/>
      <c r="E158" s="74"/>
      <c r="F158" s="74"/>
      <c r="G158" s="91"/>
      <c r="H158" s="91"/>
      <c r="I158" s="74"/>
      <c r="J158" s="74"/>
      <c r="K158" s="50"/>
      <c r="L158" s="50"/>
      <c r="M158" s="50"/>
      <c r="N158" s="50"/>
      <c r="O158" s="17">
        <f t="shared" si="51"/>
        <v>0</v>
      </c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>
      <c r="A159" s="81" t="s">
        <v>14</v>
      </c>
      <c r="B159" s="81" t="s">
        <v>29</v>
      </c>
      <c r="C159" s="81" t="s">
        <v>30</v>
      </c>
      <c r="D159" s="81" t="s">
        <v>17</v>
      </c>
      <c r="E159" s="81" t="s">
        <v>31</v>
      </c>
      <c r="F159" s="81" t="s">
        <v>19</v>
      </c>
      <c r="G159" s="92" t="s">
        <v>20</v>
      </c>
      <c r="H159" s="92" t="s">
        <v>21</v>
      </c>
      <c r="I159" s="81" t="s">
        <v>22</v>
      </c>
      <c r="J159" s="81" t="s">
        <v>23</v>
      </c>
      <c r="K159" s="93" t="s">
        <v>24</v>
      </c>
      <c r="L159" s="81" t="s">
        <v>25</v>
      </c>
      <c r="M159" s="94" t="s">
        <v>53</v>
      </c>
      <c r="N159" s="50"/>
      <c r="O159" s="17">
        <f>sum(C159:M159)</f>
        <v>0</v>
      </c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>
      <c r="A160" s="82" t="s">
        <v>26</v>
      </c>
      <c r="B160" s="60">
        <v>39.0</v>
      </c>
      <c r="C160" s="73">
        <v>18.49</v>
      </c>
      <c r="D160" s="73">
        <v>10.0</v>
      </c>
      <c r="E160" s="73">
        <v>6.0</v>
      </c>
      <c r="F160" s="73">
        <v>3.0</v>
      </c>
      <c r="G160" s="86">
        <v>13.0</v>
      </c>
      <c r="H160" s="86">
        <v>8.0</v>
      </c>
      <c r="I160" s="73">
        <v>10.0</v>
      </c>
      <c r="J160" s="73">
        <v>26.0</v>
      </c>
      <c r="K160" s="95"/>
      <c r="L160" s="60">
        <v>25.0</v>
      </c>
      <c r="M160" s="60">
        <v>0.0</v>
      </c>
      <c r="N160" s="50"/>
      <c r="O160" s="17">
        <f t="shared" ref="O160:O164" si="53">sum(B160:M160)</f>
        <v>158.49</v>
      </c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>
      <c r="A161" s="82" t="s">
        <v>27</v>
      </c>
      <c r="B161" s="60">
        <v>104.0</v>
      </c>
      <c r="C161" s="73">
        <v>6.16</v>
      </c>
      <c r="D161" s="73">
        <v>33.0</v>
      </c>
      <c r="E161" s="73">
        <v>4.0</v>
      </c>
      <c r="F161" s="73">
        <v>2.0</v>
      </c>
      <c r="G161" s="86">
        <v>15.0</v>
      </c>
      <c r="H161" s="86">
        <v>9.0</v>
      </c>
      <c r="I161" s="73">
        <v>4.0</v>
      </c>
      <c r="J161" s="73">
        <v>7.0</v>
      </c>
      <c r="K161" s="95"/>
      <c r="L161" s="60">
        <v>0.0</v>
      </c>
      <c r="M161" s="60">
        <v>0.0</v>
      </c>
      <c r="N161" s="50"/>
      <c r="O161" s="76">
        <f t="shared" si="53"/>
        <v>184.16</v>
      </c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>
      <c r="A162" s="83" t="s">
        <v>28</v>
      </c>
      <c r="B162" s="84">
        <f t="shared" ref="B162:M162" si="54">SUM(B160:B161)</f>
        <v>143</v>
      </c>
      <c r="C162" s="84">
        <f t="shared" si="54"/>
        <v>24.65</v>
      </c>
      <c r="D162" s="84">
        <f t="shared" si="54"/>
        <v>43</v>
      </c>
      <c r="E162" s="84">
        <f t="shared" si="54"/>
        <v>10</v>
      </c>
      <c r="F162" s="84">
        <f t="shared" si="54"/>
        <v>5</v>
      </c>
      <c r="G162" s="46">
        <f t="shared" si="54"/>
        <v>28</v>
      </c>
      <c r="H162" s="46">
        <f t="shared" si="54"/>
        <v>17</v>
      </c>
      <c r="I162" s="84">
        <f t="shared" si="54"/>
        <v>14</v>
      </c>
      <c r="J162" s="84">
        <f t="shared" si="54"/>
        <v>33</v>
      </c>
      <c r="K162" s="83">
        <f t="shared" si="54"/>
        <v>0</v>
      </c>
      <c r="L162" s="83">
        <f t="shared" si="54"/>
        <v>25</v>
      </c>
      <c r="M162" s="83">
        <f t="shared" si="54"/>
        <v>0</v>
      </c>
      <c r="N162" s="50"/>
      <c r="O162" s="20">
        <f t="shared" si="53"/>
        <v>342.65</v>
      </c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>
      <c r="C163" s="2"/>
      <c r="D163" s="2"/>
      <c r="E163" s="2"/>
      <c r="F163" s="2"/>
      <c r="G163" s="91"/>
      <c r="H163" s="91"/>
      <c r="I163" s="2"/>
      <c r="J163" s="2"/>
      <c r="O163" s="17">
        <f t="shared" si="53"/>
        <v>0</v>
      </c>
    </row>
    <row r="164">
      <c r="A164" s="80">
        <v>45989.0</v>
      </c>
      <c r="B164" s="50"/>
      <c r="C164" s="74"/>
      <c r="D164" s="74"/>
      <c r="E164" s="74"/>
      <c r="F164" s="74"/>
      <c r="G164" s="91"/>
      <c r="H164" s="91"/>
      <c r="I164" s="74"/>
      <c r="J164" s="74"/>
      <c r="K164" s="50"/>
      <c r="L164" s="50"/>
      <c r="M164" s="50"/>
      <c r="N164" s="50"/>
      <c r="O164" s="17">
        <f t="shared" si="53"/>
        <v>0</v>
      </c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>
      <c r="A165" s="81" t="s">
        <v>14</v>
      </c>
      <c r="B165" s="81" t="s">
        <v>29</v>
      </c>
      <c r="C165" s="81" t="s">
        <v>30</v>
      </c>
      <c r="D165" s="81" t="s">
        <v>17</v>
      </c>
      <c r="E165" s="81" t="s">
        <v>31</v>
      </c>
      <c r="F165" s="81" t="s">
        <v>19</v>
      </c>
      <c r="G165" s="92" t="s">
        <v>20</v>
      </c>
      <c r="H165" s="92" t="s">
        <v>21</v>
      </c>
      <c r="I165" s="81" t="s">
        <v>22</v>
      </c>
      <c r="J165" s="81" t="s">
        <v>23</v>
      </c>
      <c r="K165" s="93" t="s">
        <v>24</v>
      </c>
      <c r="L165" s="81" t="s">
        <v>25</v>
      </c>
      <c r="M165" s="94" t="s">
        <v>53</v>
      </c>
      <c r="N165" s="50"/>
      <c r="O165" s="17">
        <f>sum(C165:M165)</f>
        <v>0</v>
      </c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>
      <c r="A166" s="82" t="s">
        <v>26</v>
      </c>
      <c r="B166" s="60">
        <v>37.0</v>
      </c>
      <c r="C166" s="73">
        <v>17.43</v>
      </c>
      <c r="D166" s="73">
        <v>8.0</v>
      </c>
      <c r="E166" s="73">
        <v>9.0</v>
      </c>
      <c r="F166" s="73">
        <v>5.0</v>
      </c>
      <c r="G166" s="86">
        <v>10.0</v>
      </c>
      <c r="H166" s="86">
        <v>10.0</v>
      </c>
      <c r="I166" s="73">
        <v>11.0</v>
      </c>
      <c r="J166" s="73">
        <v>18.0</v>
      </c>
      <c r="K166" s="95"/>
      <c r="L166" s="60">
        <v>45.0</v>
      </c>
      <c r="M166" s="60">
        <v>40.0</v>
      </c>
      <c r="N166" s="50"/>
      <c r="O166" s="17">
        <f t="shared" ref="O166:O170" si="55">sum(B166:M166)</f>
        <v>210.43</v>
      </c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>
      <c r="A167" s="82" t="s">
        <v>27</v>
      </c>
      <c r="B167" s="60">
        <v>91.0</v>
      </c>
      <c r="C167" s="73">
        <v>5.38</v>
      </c>
      <c r="D167" s="73">
        <v>0.0</v>
      </c>
      <c r="E167" s="73">
        <v>5.0</v>
      </c>
      <c r="F167" s="73">
        <v>4.0</v>
      </c>
      <c r="G167" s="86">
        <v>16.0</v>
      </c>
      <c r="H167" s="86">
        <v>8.0</v>
      </c>
      <c r="I167" s="73">
        <v>8.0</v>
      </c>
      <c r="J167" s="73">
        <v>11.0</v>
      </c>
      <c r="K167" s="95"/>
      <c r="L167" s="60">
        <v>0.0</v>
      </c>
      <c r="M167" s="60">
        <v>0.0</v>
      </c>
      <c r="N167" s="50"/>
      <c r="O167" s="76">
        <f t="shared" si="55"/>
        <v>148.38</v>
      </c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>
      <c r="A168" s="83" t="s">
        <v>28</v>
      </c>
      <c r="B168" s="84">
        <f t="shared" ref="B168:M168" si="56">SUM(B166:B167)</f>
        <v>128</v>
      </c>
      <c r="C168" s="84">
        <f t="shared" si="56"/>
        <v>22.81</v>
      </c>
      <c r="D168" s="84">
        <f t="shared" si="56"/>
        <v>8</v>
      </c>
      <c r="E168" s="84">
        <f t="shared" si="56"/>
        <v>14</v>
      </c>
      <c r="F168" s="84">
        <f t="shared" si="56"/>
        <v>9</v>
      </c>
      <c r="G168" s="46">
        <f t="shared" si="56"/>
        <v>26</v>
      </c>
      <c r="H168" s="46">
        <f t="shared" si="56"/>
        <v>18</v>
      </c>
      <c r="I168" s="84">
        <f t="shared" si="56"/>
        <v>19</v>
      </c>
      <c r="J168" s="84">
        <f t="shared" si="56"/>
        <v>29</v>
      </c>
      <c r="K168" s="83">
        <f t="shared" si="56"/>
        <v>0</v>
      </c>
      <c r="L168" s="83">
        <f t="shared" si="56"/>
        <v>45</v>
      </c>
      <c r="M168" s="83">
        <f t="shared" si="56"/>
        <v>40</v>
      </c>
      <c r="N168" s="50"/>
      <c r="O168" s="20">
        <f t="shared" si="55"/>
        <v>358.81</v>
      </c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>
      <c r="C169" s="2"/>
      <c r="D169" s="2"/>
      <c r="E169" s="2"/>
      <c r="F169" s="2"/>
      <c r="G169" s="91"/>
      <c r="H169" s="91"/>
      <c r="I169" s="2"/>
      <c r="J169" s="2"/>
      <c r="O169" s="17">
        <f t="shared" si="55"/>
        <v>0</v>
      </c>
    </row>
    <row r="170">
      <c r="A170" s="80">
        <v>45990.0</v>
      </c>
      <c r="B170" s="50"/>
      <c r="C170" s="74"/>
      <c r="D170" s="74"/>
      <c r="E170" s="74"/>
      <c r="F170" s="74"/>
      <c r="G170" s="91"/>
      <c r="H170" s="91"/>
      <c r="I170" s="74"/>
      <c r="J170" s="74"/>
      <c r="K170" s="50"/>
      <c r="L170" s="50"/>
      <c r="M170" s="50"/>
      <c r="N170" s="50"/>
      <c r="O170" s="17">
        <f t="shared" si="55"/>
        <v>0</v>
      </c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>
      <c r="A171" s="81" t="s">
        <v>14</v>
      </c>
      <c r="B171" s="81" t="s">
        <v>29</v>
      </c>
      <c r="C171" s="81" t="s">
        <v>30</v>
      </c>
      <c r="D171" s="81" t="s">
        <v>17</v>
      </c>
      <c r="E171" s="81" t="s">
        <v>31</v>
      </c>
      <c r="F171" s="81" t="s">
        <v>19</v>
      </c>
      <c r="G171" s="92" t="s">
        <v>20</v>
      </c>
      <c r="H171" s="92" t="s">
        <v>21</v>
      </c>
      <c r="I171" s="81" t="s">
        <v>22</v>
      </c>
      <c r="J171" s="81" t="s">
        <v>23</v>
      </c>
      <c r="K171" s="93" t="s">
        <v>24</v>
      </c>
      <c r="L171" s="81" t="s">
        <v>25</v>
      </c>
      <c r="M171" s="94" t="s">
        <v>53</v>
      </c>
      <c r="N171" s="50"/>
      <c r="O171" s="17">
        <f>sum(C171:M171)</f>
        <v>0</v>
      </c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>
      <c r="A172" s="82" t="s">
        <v>26</v>
      </c>
      <c r="B172" s="60">
        <v>112.0</v>
      </c>
      <c r="C172" s="73">
        <v>21.31</v>
      </c>
      <c r="D172" s="73">
        <v>9.0</v>
      </c>
      <c r="E172" s="73">
        <v>8.0</v>
      </c>
      <c r="F172" s="73">
        <v>9.0</v>
      </c>
      <c r="G172" s="86">
        <v>11.0</v>
      </c>
      <c r="H172" s="86">
        <v>6.0</v>
      </c>
      <c r="I172" s="73">
        <v>13.0</v>
      </c>
      <c r="J172" s="73">
        <v>20.0</v>
      </c>
      <c r="K172" s="95"/>
      <c r="L172" s="60">
        <v>30.0</v>
      </c>
      <c r="M172" s="95"/>
      <c r="N172" s="50"/>
      <c r="O172" s="17">
        <f t="shared" ref="O172:O176" si="57">sum(B172:M172)</f>
        <v>239.31</v>
      </c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>
      <c r="A173" s="82" t="s">
        <v>27</v>
      </c>
      <c r="B173" s="60">
        <v>28.0</v>
      </c>
      <c r="C173" s="73">
        <v>8.232</v>
      </c>
      <c r="D173" s="73">
        <v>0.0</v>
      </c>
      <c r="E173" s="73">
        <v>5.0</v>
      </c>
      <c r="F173" s="73">
        <v>8.0</v>
      </c>
      <c r="G173" s="86">
        <v>15.0</v>
      </c>
      <c r="H173" s="86">
        <v>4.0</v>
      </c>
      <c r="I173" s="73">
        <v>10.0</v>
      </c>
      <c r="J173" s="73">
        <v>12.0</v>
      </c>
      <c r="K173" s="95"/>
      <c r="L173" s="60">
        <v>0.0</v>
      </c>
      <c r="M173" s="95"/>
      <c r="N173" s="50"/>
      <c r="O173" s="76">
        <f t="shared" si="57"/>
        <v>90.232</v>
      </c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>
      <c r="A174" s="83" t="s">
        <v>28</v>
      </c>
      <c r="B174" s="84">
        <f t="shared" ref="B174:M174" si="58">SUM(B172:B173)</f>
        <v>140</v>
      </c>
      <c r="C174" s="84">
        <f t="shared" si="58"/>
        <v>29.542</v>
      </c>
      <c r="D174" s="84">
        <f t="shared" si="58"/>
        <v>9</v>
      </c>
      <c r="E174" s="84">
        <f t="shared" si="58"/>
        <v>13</v>
      </c>
      <c r="F174" s="84">
        <f t="shared" si="58"/>
        <v>17</v>
      </c>
      <c r="G174" s="46">
        <f t="shared" si="58"/>
        <v>26</v>
      </c>
      <c r="H174" s="46">
        <f t="shared" si="58"/>
        <v>10</v>
      </c>
      <c r="I174" s="84">
        <f t="shared" si="58"/>
        <v>23</v>
      </c>
      <c r="J174" s="84">
        <f t="shared" si="58"/>
        <v>32</v>
      </c>
      <c r="K174" s="83">
        <f t="shared" si="58"/>
        <v>0</v>
      </c>
      <c r="L174" s="83">
        <f t="shared" si="58"/>
        <v>30</v>
      </c>
      <c r="M174" s="83">
        <f t="shared" si="58"/>
        <v>0</v>
      </c>
      <c r="N174" s="50"/>
      <c r="O174" s="20">
        <f t="shared" si="57"/>
        <v>329.542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>
      <c r="C175" s="2"/>
      <c r="D175" s="2"/>
      <c r="E175" s="2"/>
      <c r="F175" s="2"/>
      <c r="G175" s="91"/>
      <c r="H175" s="91"/>
      <c r="I175" s="2"/>
      <c r="J175" s="2"/>
      <c r="O175" s="17">
        <f t="shared" si="57"/>
        <v>0</v>
      </c>
    </row>
    <row r="176">
      <c r="A176" s="80">
        <v>45991.0</v>
      </c>
      <c r="B176" s="50"/>
      <c r="C176" s="74"/>
      <c r="D176" s="74"/>
      <c r="E176" s="74"/>
      <c r="F176" s="74"/>
      <c r="G176" s="91"/>
      <c r="H176" s="91"/>
      <c r="I176" s="74"/>
      <c r="J176" s="74"/>
      <c r="K176" s="50"/>
      <c r="L176" s="50"/>
      <c r="M176" s="50"/>
      <c r="N176" s="50"/>
      <c r="O176" s="17">
        <f t="shared" si="57"/>
        <v>0</v>
      </c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>
      <c r="A177" s="81" t="s">
        <v>14</v>
      </c>
      <c r="B177" s="81" t="s">
        <v>29</v>
      </c>
      <c r="C177" s="81" t="s">
        <v>30</v>
      </c>
      <c r="D177" s="81" t="s">
        <v>17</v>
      </c>
      <c r="E177" s="81" t="s">
        <v>31</v>
      </c>
      <c r="F177" s="81" t="s">
        <v>19</v>
      </c>
      <c r="G177" s="92" t="s">
        <v>20</v>
      </c>
      <c r="H177" s="92" t="s">
        <v>21</v>
      </c>
      <c r="I177" s="81" t="s">
        <v>22</v>
      </c>
      <c r="J177" s="81" t="s">
        <v>23</v>
      </c>
      <c r="K177" s="93" t="s">
        <v>24</v>
      </c>
      <c r="L177" s="81" t="s">
        <v>25</v>
      </c>
      <c r="M177" s="94" t="s">
        <v>53</v>
      </c>
      <c r="N177" s="50"/>
      <c r="O177" s="17">
        <f>sum(C177:M177)</f>
        <v>0</v>
      </c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>
      <c r="A178" s="82" t="s">
        <v>26</v>
      </c>
      <c r="B178" s="60">
        <v>60.0</v>
      </c>
      <c r="C178" s="73">
        <v>19.5</v>
      </c>
      <c r="D178" s="73">
        <v>15.0</v>
      </c>
      <c r="E178" s="73">
        <v>6.0</v>
      </c>
      <c r="F178" s="73">
        <v>19.0</v>
      </c>
      <c r="G178" s="86">
        <v>12.0</v>
      </c>
      <c r="H178" s="86">
        <v>9.0</v>
      </c>
      <c r="I178" s="73">
        <v>8.0</v>
      </c>
      <c r="J178" s="73">
        <v>19.0</v>
      </c>
      <c r="K178" s="95"/>
      <c r="L178" s="60">
        <v>0.0</v>
      </c>
      <c r="M178" s="60">
        <v>40.0</v>
      </c>
      <c r="N178" s="50"/>
      <c r="O178" s="17">
        <f t="shared" ref="O178:O180" si="59">sum(B178:M178)</f>
        <v>207.5</v>
      </c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>
      <c r="A179" s="82" t="s">
        <v>27</v>
      </c>
      <c r="B179" s="60">
        <v>31.0</v>
      </c>
      <c r="C179" s="73">
        <v>8.414</v>
      </c>
      <c r="D179" s="73">
        <v>0.0</v>
      </c>
      <c r="E179" s="73">
        <v>4.0</v>
      </c>
      <c r="F179" s="73">
        <v>14.0</v>
      </c>
      <c r="G179" s="86">
        <v>9.0</v>
      </c>
      <c r="H179" s="86">
        <v>7.0</v>
      </c>
      <c r="I179" s="73">
        <v>6.0</v>
      </c>
      <c r="J179" s="73">
        <v>7.0</v>
      </c>
      <c r="K179" s="95"/>
      <c r="L179" s="60">
        <v>0.0</v>
      </c>
      <c r="M179" s="60">
        <v>0.0</v>
      </c>
      <c r="N179" s="50"/>
      <c r="O179" s="76">
        <f t="shared" si="59"/>
        <v>86.414</v>
      </c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>
      <c r="A180" s="83" t="s">
        <v>28</v>
      </c>
      <c r="B180" s="84">
        <f t="shared" ref="B180:M180" si="60">SUM(B178:B179)</f>
        <v>91</v>
      </c>
      <c r="C180" s="84">
        <f t="shared" si="60"/>
        <v>27.914</v>
      </c>
      <c r="D180" s="84">
        <f t="shared" si="60"/>
        <v>15</v>
      </c>
      <c r="E180" s="84">
        <f t="shared" si="60"/>
        <v>10</v>
      </c>
      <c r="F180" s="84">
        <f t="shared" si="60"/>
        <v>33</v>
      </c>
      <c r="G180" s="46">
        <f t="shared" si="60"/>
        <v>21</v>
      </c>
      <c r="H180" s="46">
        <f t="shared" si="60"/>
        <v>16</v>
      </c>
      <c r="I180" s="84">
        <f t="shared" si="60"/>
        <v>14</v>
      </c>
      <c r="J180" s="84">
        <f t="shared" si="60"/>
        <v>26</v>
      </c>
      <c r="K180" s="83">
        <f t="shared" si="60"/>
        <v>0</v>
      </c>
      <c r="L180" s="83">
        <f t="shared" si="60"/>
        <v>0</v>
      </c>
      <c r="M180" s="83">
        <f t="shared" si="60"/>
        <v>40</v>
      </c>
      <c r="N180" s="50"/>
      <c r="O180" s="20">
        <f t="shared" si="59"/>
        <v>293.914</v>
      </c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>
      <c r="C181" s="2"/>
      <c r="D181" s="2"/>
      <c r="G181" s="2"/>
      <c r="H181" s="2"/>
      <c r="N181" s="38" t="s">
        <v>32</v>
      </c>
      <c r="O181" s="62">
        <f t="shared" ref="O181:O182" si="61">sum(O4+O10+O16+O22+O28+O34+O40+O46+O52+O58+O64+O70+O76+O82+O88+O94+O100+O106+O112+O118+O124+O130+O136+O142+O148+O154+O160+O166+O172+O178)</f>
        <v>6945.606</v>
      </c>
    </row>
    <row r="182">
      <c r="C182" s="2"/>
      <c r="D182" s="2"/>
      <c r="G182" s="2"/>
      <c r="H182" s="2"/>
      <c r="N182" s="39" t="s">
        <v>33</v>
      </c>
      <c r="O182" s="40">
        <f t="shared" si="61"/>
        <v>4801.676</v>
      </c>
    </row>
    <row r="183">
      <c r="C183" s="2"/>
      <c r="D183" s="2"/>
      <c r="G183" s="2"/>
      <c r="H183" s="2"/>
    </row>
    <row r="184">
      <c r="C184" s="2"/>
      <c r="D184" s="2"/>
      <c r="G184" s="2"/>
      <c r="H184" s="2"/>
    </row>
    <row r="185">
      <c r="C185" s="2"/>
      <c r="D185" s="2"/>
      <c r="G185" s="2"/>
      <c r="H185" s="2"/>
    </row>
    <row r="186">
      <c r="C186" s="2"/>
      <c r="D186" s="2"/>
      <c r="G186" s="2"/>
      <c r="H186" s="2"/>
    </row>
    <row r="187">
      <c r="C187" s="2"/>
      <c r="D187" s="2"/>
      <c r="G187" s="2"/>
      <c r="H187" s="2"/>
    </row>
    <row r="188">
      <c r="C188" s="2"/>
      <c r="D188" s="2"/>
      <c r="G188" s="2"/>
      <c r="H188" s="2"/>
    </row>
    <row r="189">
      <c r="C189" s="2"/>
      <c r="D189" s="2"/>
      <c r="G189" s="2"/>
      <c r="H189" s="2"/>
    </row>
    <row r="190">
      <c r="C190" s="2"/>
      <c r="D190" s="2"/>
      <c r="G190" s="2"/>
      <c r="H190" s="2"/>
    </row>
    <row r="191">
      <c r="C191" s="2"/>
      <c r="D191" s="2"/>
      <c r="G191" s="2"/>
      <c r="H191" s="2"/>
    </row>
    <row r="192">
      <c r="C192" s="2"/>
      <c r="D192" s="2"/>
      <c r="G192" s="2"/>
      <c r="H192" s="2"/>
    </row>
    <row r="193">
      <c r="C193" s="2"/>
      <c r="D193" s="2"/>
      <c r="G193" s="2"/>
      <c r="H193" s="2"/>
    </row>
    <row r="194">
      <c r="C194" s="2"/>
      <c r="D194" s="2"/>
      <c r="G194" s="2"/>
      <c r="H194" s="2"/>
    </row>
    <row r="195">
      <c r="C195" s="2"/>
      <c r="D195" s="2"/>
      <c r="G195" s="2"/>
      <c r="H195" s="2"/>
    </row>
    <row r="196">
      <c r="C196" s="2"/>
      <c r="D196" s="2"/>
      <c r="G196" s="2"/>
      <c r="H196" s="2"/>
    </row>
    <row r="197">
      <c r="C197" s="2"/>
      <c r="D197" s="2"/>
      <c r="G197" s="2"/>
      <c r="H197" s="2"/>
    </row>
    <row r="198">
      <c r="C198" s="2"/>
      <c r="D198" s="2"/>
      <c r="G198" s="2"/>
      <c r="H198" s="2"/>
    </row>
    <row r="199">
      <c r="C199" s="2"/>
      <c r="D199" s="2"/>
      <c r="G199" s="2"/>
      <c r="H199" s="2"/>
    </row>
    <row r="200">
      <c r="C200" s="2"/>
      <c r="D200" s="2"/>
      <c r="G200" s="2"/>
      <c r="H200" s="2"/>
    </row>
    <row r="201">
      <c r="C201" s="2"/>
      <c r="D201" s="2"/>
      <c r="G201" s="2"/>
      <c r="H201" s="2"/>
    </row>
    <row r="202">
      <c r="C202" s="2"/>
      <c r="D202" s="2"/>
      <c r="G202" s="2"/>
      <c r="H202" s="2"/>
    </row>
    <row r="203">
      <c r="C203" s="2"/>
      <c r="D203" s="2"/>
      <c r="G203" s="2"/>
      <c r="H203" s="2"/>
    </row>
    <row r="204">
      <c r="C204" s="2"/>
      <c r="D204" s="2"/>
      <c r="G204" s="2"/>
      <c r="H204" s="2"/>
    </row>
    <row r="205">
      <c r="C205" s="2"/>
      <c r="D205" s="2"/>
      <c r="G205" s="2"/>
      <c r="H205" s="2"/>
    </row>
    <row r="206">
      <c r="C206" s="2"/>
      <c r="D206" s="2"/>
      <c r="G206" s="2"/>
      <c r="H206" s="2"/>
    </row>
    <row r="207">
      <c r="C207" s="2"/>
      <c r="D207" s="2"/>
      <c r="G207" s="2"/>
      <c r="H207" s="2"/>
    </row>
    <row r="208">
      <c r="C208" s="2"/>
      <c r="D208" s="2"/>
      <c r="G208" s="2"/>
      <c r="H208" s="2"/>
    </row>
    <row r="209">
      <c r="C209" s="2"/>
      <c r="D209" s="2"/>
      <c r="G209" s="2"/>
      <c r="H209" s="2"/>
    </row>
    <row r="210">
      <c r="C210" s="2"/>
      <c r="D210" s="2"/>
      <c r="G210" s="2"/>
      <c r="H210" s="2"/>
    </row>
    <row r="211">
      <c r="C211" s="2"/>
      <c r="D211" s="2"/>
      <c r="G211" s="2"/>
      <c r="H211" s="2"/>
    </row>
    <row r="212">
      <c r="C212" s="2"/>
      <c r="D212" s="2"/>
      <c r="G212" s="2"/>
      <c r="H212" s="2"/>
    </row>
    <row r="213">
      <c r="C213" s="2"/>
      <c r="D213" s="2"/>
      <c r="G213" s="2"/>
      <c r="H213" s="2"/>
    </row>
    <row r="214">
      <c r="C214" s="2"/>
      <c r="D214" s="2"/>
      <c r="G214" s="2"/>
      <c r="H214" s="2"/>
    </row>
    <row r="215">
      <c r="C215" s="2"/>
      <c r="D215" s="2"/>
      <c r="G215" s="2"/>
      <c r="H215" s="2"/>
    </row>
    <row r="216">
      <c r="C216" s="2"/>
      <c r="D216" s="2"/>
      <c r="G216" s="2"/>
      <c r="H216" s="2"/>
    </row>
    <row r="217">
      <c r="C217" s="2"/>
      <c r="D217" s="2"/>
      <c r="G217" s="2"/>
      <c r="H217" s="2"/>
    </row>
    <row r="218">
      <c r="C218" s="2"/>
      <c r="D218" s="2"/>
      <c r="G218" s="2"/>
      <c r="H218" s="2"/>
    </row>
    <row r="219">
      <c r="C219" s="2"/>
      <c r="D219" s="2"/>
      <c r="G219" s="2"/>
      <c r="H219" s="2"/>
    </row>
    <row r="220">
      <c r="C220" s="2"/>
      <c r="D220" s="2"/>
      <c r="G220" s="2"/>
      <c r="H220" s="2"/>
    </row>
    <row r="221">
      <c r="C221" s="2"/>
      <c r="D221" s="2"/>
      <c r="G221" s="2"/>
      <c r="H221" s="2"/>
    </row>
    <row r="222">
      <c r="C222" s="2"/>
      <c r="D222" s="2"/>
      <c r="G222" s="2"/>
      <c r="H222" s="2"/>
    </row>
    <row r="223">
      <c r="C223" s="2"/>
      <c r="D223" s="2"/>
      <c r="G223" s="2"/>
      <c r="H223" s="2"/>
    </row>
    <row r="224">
      <c r="C224" s="2"/>
      <c r="D224" s="2"/>
      <c r="G224" s="2"/>
      <c r="H224" s="2"/>
    </row>
    <row r="225">
      <c r="C225" s="2"/>
      <c r="D225" s="2"/>
      <c r="G225" s="2"/>
      <c r="H225" s="2"/>
    </row>
    <row r="226">
      <c r="C226" s="2"/>
      <c r="D226" s="2"/>
      <c r="G226" s="2"/>
      <c r="H226" s="2"/>
    </row>
    <row r="227">
      <c r="C227" s="2"/>
      <c r="D227" s="2"/>
      <c r="G227" s="2"/>
      <c r="H227" s="2"/>
    </row>
    <row r="228">
      <c r="C228" s="2"/>
      <c r="D228" s="2"/>
      <c r="G228" s="2"/>
      <c r="H228" s="2"/>
    </row>
    <row r="229">
      <c r="C229" s="2"/>
      <c r="D229" s="2"/>
      <c r="G229" s="2"/>
      <c r="H229" s="2"/>
    </row>
    <row r="230">
      <c r="C230" s="2"/>
      <c r="D230" s="2"/>
      <c r="G230" s="2"/>
      <c r="H230" s="2"/>
    </row>
    <row r="231">
      <c r="C231" s="2"/>
      <c r="D231" s="2"/>
      <c r="G231" s="2"/>
      <c r="H231" s="2"/>
    </row>
    <row r="232">
      <c r="C232" s="2"/>
      <c r="D232" s="2"/>
      <c r="G232" s="2"/>
      <c r="H232" s="2"/>
    </row>
    <row r="233">
      <c r="C233" s="2"/>
      <c r="D233" s="2"/>
      <c r="G233" s="2"/>
      <c r="H233" s="2"/>
    </row>
    <row r="234">
      <c r="C234" s="2"/>
      <c r="D234" s="2"/>
      <c r="G234" s="2"/>
      <c r="H234" s="2"/>
    </row>
    <row r="235">
      <c r="C235" s="2"/>
      <c r="D235" s="2"/>
      <c r="G235" s="2"/>
      <c r="H235" s="2"/>
    </row>
    <row r="236">
      <c r="C236" s="2"/>
      <c r="D236" s="2"/>
      <c r="G236" s="2"/>
      <c r="H236" s="2"/>
    </row>
    <row r="237">
      <c r="C237" s="2"/>
      <c r="D237" s="2"/>
      <c r="G237" s="2"/>
      <c r="H237" s="2"/>
    </row>
    <row r="238">
      <c r="C238" s="2"/>
      <c r="D238" s="2"/>
      <c r="G238" s="2"/>
      <c r="H238" s="2"/>
    </row>
    <row r="239">
      <c r="C239" s="2"/>
      <c r="D239" s="2"/>
      <c r="G239" s="2"/>
      <c r="H239" s="2"/>
    </row>
    <row r="240">
      <c r="C240" s="2"/>
      <c r="D240" s="2"/>
      <c r="G240" s="2"/>
      <c r="H240" s="2"/>
    </row>
    <row r="241">
      <c r="C241" s="2"/>
      <c r="D241" s="2"/>
      <c r="G241" s="2"/>
      <c r="H241" s="2"/>
    </row>
    <row r="242">
      <c r="C242" s="2"/>
      <c r="D242" s="2"/>
      <c r="G242" s="2"/>
      <c r="H242" s="2"/>
    </row>
    <row r="243">
      <c r="C243" s="2"/>
      <c r="D243" s="2"/>
      <c r="G243" s="2"/>
      <c r="H243" s="2"/>
    </row>
    <row r="244">
      <c r="C244" s="2"/>
      <c r="D244" s="2"/>
      <c r="G244" s="2"/>
      <c r="H244" s="2"/>
    </row>
    <row r="245">
      <c r="C245" s="2"/>
      <c r="D245" s="2"/>
      <c r="G245" s="2"/>
      <c r="H245" s="2"/>
    </row>
    <row r="246">
      <c r="C246" s="2"/>
      <c r="D246" s="2"/>
      <c r="G246" s="2"/>
      <c r="H246" s="2"/>
    </row>
    <row r="247">
      <c r="C247" s="2"/>
      <c r="D247" s="2"/>
      <c r="G247" s="2"/>
      <c r="H247" s="2"/>
    </row>
    <row r="248">
      <c r="C248" s="2"/>
      <c r="D248" s="2"/>
      <c r="G248" s="2"/>
      <c r="H248" s="2"/>
    </row>
    <row r="249">
      <c r="C249" s="2"/>
      <c r="D249" s="2"/>
      <c r="G249" s="2"/>
      <c r="H249" s="2"/>
    </row>
    <row r="250">
      <c r="C250" s="2"/>
      <c r="D250" s="2"/>
      <c r="G250" s="2"/>
      <c r="H250" s="2"/>
    </row>
    <row r="251">
      <c r="C251" s="2"/>
      <c r="D251" s="2"/>
      <c r="G251" s="2"/>
      <c r="H251" s="2"/>
    </row>
    <row r="252">
      <c r="C252" s="2"/>
      <c r="D252" s="2"/>
      <c r="G252" s="2"/>
      <c r="H252" s="2"/>
    </row>
    <row r="253">
      <c r="C253" s="2"/>
      <c r="D253" s="2"/>
      <c r="G253" s="2"/>
      <c r="H253" s="2"/>
    </row>
    <row r="254">
      <c r="C254" s="2"/>
      <c r="D254" s="2"/>
      <c r="G254" s="2"/>
      <c r="H254" s="2"/>
    </row>
    <row r="255">
      <c r="C255" s="2"/>
      <c r="D255" s="2"/>
      <c r="G255" s="2"/>
      <c r="H255" s="2"/>
    </row>
    <row r="256">
      <c r="C256" s="2"/>
      <c r="D256" s="2"/>
      <c r="G256" s="2"/>
      <c r="H256" s="2"/>
    </row>
    <row r="257">
      <c r="C257" s="2"/>
      <c r="D257" s="2"/>
      <c r="G257" s="2"/>
      <c r="H257" s="2"/>
    </row>
    <row r="258">
      <c r="C258" s="2"/>
      <c r="D258" s="2"/>
      <c r="G258" s="2"/>
      <c r="H258" s="2"/>
    </row>
    <row r="259">
      <c r="C259" s="2"/>
      <c r="D259" s="2"/>
      <c r="G259" s="2"/>
      <c r="H259" s="2"/>
    </row>
    <row r="260">
      <c r="C260" s="2"/>
      <c r="D260" s="2"/>
      <c r="G260" s="2"/>
      <c r="H260" s="2"/>
    </row>
    <row r="261">
      <c r="C261" s="2"/>
      <c r="D261" s="2"/>
      <c r="G261" s="2"/>
      <c r="H261" s="2"/>
    </row>
    <row r="262">
      <c r="C262" s="2"/>
      <c r="D262" s="2"/>
      <c r="G262" s="2"/>
      <c r="H262" s="2"/>
    </row>
    <row r="263">
      <c r="C263" s="2"/>
      <c r="D263" s="2"/>
      <c r="G263" s="2"/>
      <c r="H263" s="2"/>
    </row>
    <row r="264">
      <c r="C264" s="2"/>
      <c r="D264" s="2"/>
      <c r="G264" s="2"/>
      <c r="H264" s="2"/>
    </row>
    <row r="265">
      <c r="C265" s="2"/>
      <c r="D265" s="2"/>
      <c r="G265" s="2"/>
      <c r="H265" s="2"/>
    </row>
    <row r="266">
      <c r="C266" s="2"/>
      <c r="D266" s="2"/>
      <c r="G266" s="2"/>
      <c r="H266" s="2"/>
    </row>
    <row r="267">
      <c r="C267" s="2"/>
      <c r="D267" s="2"/>
      <c r="G267" s="2"/>
      <c r="H267" s="2"/>
    </row>
    <row r="268">
      <c r="C268" s="2"/>
      <c r="D268" s="2"/>
      <c r="G268" s="2"/>
      <c r="H268" s="2"/>
    </row>
    <row r="269">
      <c r="C269" s="2"/>
      <c r="D269" s="2"/>
      <c r="G269" s="2"/>
      <c r="H269" s="2"/>
    </row>
    <row r="270">
      <c r="C270" s="2"/>
      <c r="D270" s="2"/>
      <c r="G270" s="2"/>
      <c r="H270" s="2"/>
    </row>
    <row r="271">
      <c r="C271" s="2"/>
      <c r="D271" s="2"/>
      <c r="G271" s="2"/>
      <c r="H271" s="2"/>
    </row>
    <row r="272">
      <c r="C272" s="2"/>
      <c r="D272" s="2"/>
      <c r="G272" s="2"/>
      <c r="H272" s="2"/>
    </row>
    <row r="273">
      <c r="C273" s="2"/>
      <c r="D273" s="2"/>
      <c r="G273" s="2"/>
      <c r="H273" s="2"/>
    </row>
    <row r="274">
      <c r="C274" s="2"/>
      <c r="D274" s="2"/>
      <c r="G274" s="2"/>
      <c r="H274" s="2"/>
    </row>
    <row r="275">
      <c r="C275" s="2"/>
      <c r="D275" s="2"/>
      <c r="G275" s="2"/>
      <c r="H275" s="2"/>
    </row>
    <row r="276">
      <c r="C276" s="2"/>
      <c r="D276" s="2"/>
      <c r="G276" s="2"/>
      <c r="H276" s="2"/>
    </row>
    <row r="277">
      <c r="C277" s="2"/>
      <c r="D277" s="2"/>
      <c r="G277" s="2"/>
      <c r="H277" s="2"/>
    </row>
    <row r="278">
      <c r="C278" s="2"/>
      <c r="D278" s="2"/>
      <c r="G278" s="2"/>
      <c r="H278" s="2"/>
    </row>
    <row r="279">
      <c r="C279" s="2"/>
      <c r="D279" s="2"/>
      <c r="G279" s="2"/>
      <c r="H279" s="2"/>
    </row>
    <row r="280">
      <c r="C280" s="2"/>
      <c r="D280" s="2"/>
      <c r="G280" s="2"/>
      <c r="H280" s="2"/>
    </row>
    <row r="281">
      <c r="C281" s="2"/>
      <c r="D281" s="2"/>
      <c r="G281" s="2"/>
      <c r="H281" s="2"/>
    </row>
    <row r="282">
      <c r="C282" s="2"/>
      <c r="D282" s="2"/>
      <c r="G282" s="2"/>
      <c r="H282" s="2"/>
    </row>
    <row r="283">
      <c r="C283" s="2"/>
      <c r="D283" s="2"/>
      <c r="G283" s="2"/>
      <c r="H283" s="2"/>
    </row>
    <row r="284">
      <c r="C284" s="2"/>
      <c r="D284" s="2"/>
      <c r="G284" s="2"/>
      <c r="H284" s="2"/>
    </row>
    <row r="285">
      <c r="C285" s="2"/>
      <c r="D285" s="2"/>
      <c r="G285" s="2"/>
      <c r="H285" s="2"/>
    </row>
    <row r="286">
      <c r="C286" s="2"/>
      <c r="D286" s="2"/>
      <c r="G286" s="2"/>
      <c r="H286" s="2"/>
    </row>
    <row r="287">
      <c r="C287" s="2"/>
      <c r="D287" s="2"/>
      <c r="G287" s="2"/>
      <c r="H287" s="2"/>
    </row>
    <row r="288">
      <c r="C288" s="2"/>
      <c r="D288" s="2"/>
      <c r="G288" s="2"/>
      <c r="H288" s="2"/>
    </row>
    <row r="289">
      <c r="C289" s="2"/>
      <c r="D289" s="2"/>
      <c r="G289" s="2"/>
      <c r="H289" s="2"/>
    </row>
    <row r="290">
      <c r="C290" s="2"/>
      <c r="D290" s="2"/>
      <c r="G290" s="2"/>
      <c r="H290" s="2"/>
    </row>
    <row r="291">
      <c r="C291" s="2"/>
      <c r="D291" s="2"/>
      <c r="G291" s="2"/>
      <c r="H291" s="2"/>
    </row>
    <row r="292">
      <c r="C292" s="2"/>
      <c r="D292" s="2"/>
      <c r="G292" s="2"/>
      <c r="H292" s="2"/>
    </row>
    <row r="293">
      <c r="C293" s="2"/>
      <c r="D293" s="2"/>
      <c r="G293" s="2"/>
      <c r="H293" s="2"/>
    </row>
    <row r="294">
      <c r="C294" s="2"/>
      <c r="D294" s="2"/>
      <c r="G294" s="2"/>
      <c r="H294" s="2"/>
    </row>
    <row r="295">
      <c r="C295" s="2"/>
      <c r="D295" s="2"/>
      <c r="G295" s="2"/>
      <c r="H295" s="2"/>
    </row>
    <row r="296">
      <c r="C296" s="2"/>
      <c r="D296" s="2"/>
      <c r="G296" s="2"/>
      <c r="H296" s="2"/>
    </row>
    <row r="297">
      <c r="C297" s="2"/>
      <c r="D297" s="2"/>
      <c r="G297" s="2"/>
      <c r="H297" s="2"/>
    </row>
    <row r="298">
      <c r="C298" s="2"/>
      <c r="D298" s="2"/>
      <c r="G298" s="2"/>
      <c r="H298" s="2"/>
    </row>
    <row r="299">
      <c r="C299" s="2"/>
      <c r="D299" s="2"/>
      <c r="G299" s="2"/>
      <c r="H299" s="2"/>
    </row>
    <row r="300">
      <c r="C300" s="2"/>
      <c r="D300" s="2"/>
      <c r="G300" s="2"/>
      <c r="H300" s="2"/>
    </row>
    <row r="301">
      <c r="C301" s="2"/>
      <c r="D301" s="2"/>
      <c r="G301" s="2"/>
      <c r="H301" s="2"/>
    </row>
    <row r="302">
      <c r="C302" s="2"/>
      <c r="D302" s="2"/>
      <c r="G302" s="2"/>
      <c r="H302" s="2"/>
    </row>
    <row r="303">
      <c r="C303" s="2"/>
      <c r="D303" s="2"/>
      <c r="G303" s="2"/>
      <c r="H303" s="2"/>
    </row>
    <row r="304">
      <c r="C304" s="2"/>
      <c r="D304" s="2"/>
      <c r="G304" s="2"/>
      <c r="H304" s="2"/>
    </row>
    <row r="305">
      <c r="C305" s="2"/>
      <c r="D305" s="2"/>
      <c r="G305" s="2"/>
      <c r="H305" s="2"/>
    </row>
    <row r="306">
      <c r="C306" s="2"/>
      <c r="D306" s="2"/>
      <c r="G306" s="2"/>
      <c r="H306" s="2"/>
    </row>
    <row r="307">
      <c r="C307" s="2"/>
      <c r="D307" s="2"/>
      <c r="G307" s="2"/>
      <c r="H307" s="2"/>
    </row>
    <row r="308">
      <c r="C308" s="2"/>
      <c r="D308" s="2"/>
      <c r="G308" s="2"/>
      <c r="H308" s="2"/>
    </row>
    <row r="309">
      <c r="C309" s="2"/>
      <c r="D309" s="2"/>
      <c r="G309" s="2"/>
      <c r="H309" s="2"/>
    </row>
    <row r="310">
      <c r="C310" s="2"/>
      <c r="D310" s="2"/>
      <c r="G310" s="2"/>
      <c r="H310" s="2"/>
    </row>
    <row r="311">
      <c r="C311" s="2"/>
      <c r="D311" s="2"/>
      <c r="G311" s="2"/>
      <c r="H311" s="2"/>
    </row>
    <row r="312">
      <c r="C312" s="2"/>
      <c r="D312" s="2"/>
      <c r="G312" s="2"/>
      <c r="H312" s="2"/>
    </row>
    <row r="313">
      <c r="C313" s="2"/>
      <c r="D313" s="2"/>
      <c r="G313" s="2"/>
      <c r="H313" s="2"/>
    </row>
    <row r="314">
      <c r="C314" s="2"/>
      <c r="D314" s="2"/>
      <c r="G314" s="2"/>
      <c r="H314" s="2"/>
    </row>
    <row r="315">
      <c r="C315" s="2"/>
      <c r="D315" s="2"/>
      <c r="G315" s="2"/>
      <c r="H315" s="2"/>
    </row>
    <row r="316">
      <c r="C316" s="2"/>
      <c r="D316" s="2"/>
      <c r="G316" s="2"/>
      <c r="H316" s="2"/>
    </row>
    <row r="317">
      <c r="C317" s="2"/>
      <c r="D317" s="2"/>
      <c r="G317" s="2"/>
      <c r="H317" s="2"/>
    </row>
    <row r="318">
      <c r="C318" s="2"/>
      <c r="D318" s="2"/>
      <c r="G318" s="2"/>
      <c r="H318" s="2"/>
    </row>
    <row r="319">
      <c r="C319" s="2"/>
      <c r="D319" s="2"/>
      <c r="G319" s="2"/>
      <c r="H319" s="2"/>
    </row>
    <row r="320">
      <c r="C320" s="2"/>
      <c r="D320" s="2"/>
      <c r="G320" s="2"/>
      <c r="H320" s="2"/>
    </row>
    <row r="321">
      <c r="C321" s="2"/>
      <c r="D321" s="2"/>
      <c r="G321" s="2"/>
      <c r="H321" s="2"/>
    </row>
    <row r="322">
      <c r="C322" s="2"/>
      <c r="D322" s="2"/>
      <c r="G322" s="2"/>
      <c r="H322" s="2"/>
    </row>
    <row r="323">
      <c r="C323" s="2"/>
      <c r="D323" s="2"/>
      <c r="G323" s="2"/>
      <c r="H323" s="2"/>
    </row>
    <row r="324">
      <c r="C324" s="2"/>
      <c r="D324" s="2"/>
      <c r="G324" s="2"/>
      <c r="H324" s="2"/>
    </row>
    <row r="325">
      <c r="C325" s="2"/>
      <c r="D325" s="2"/>
      <c r="G325" s="2"/>
      <c r="H325" s="2"/>
    </row>
    <row r="326">
      <c r="C326" s="2"/>
      <c r="D326" s="2"/>
      <c r="G326" s="2"/>
      <c r="H326" s="2"/>
    </row>
    <row r="327">
      <c r="C327" s="2"/>
      <c r="D327" s="2"/>
      <c r="G327" s="2"/>
      <c r="H327" s="2"/>
    </row>
    <row r="328">
      <c r="C328" s="2"/>
      <c r="D328" s="2"/>
      <c r="G328" s="2"/>
      <c r="H328" s="2"/>
    </row>
    <row r="329">
      <c r="C329" s="2"/>
      <c r="D329" s="2"/>
      <c r="G329" s="2"/>
      <c r="H329" s="2"/>
    </row>
    <row r="330">
      <c r="C330" s="2"/>
      <c r="D330" s="2"/>
      <c r="G330" s="2"/>
      <c r="H330" s="2"/>
    </row>
    <row r="331">
      <c r="C331" s="2"/>
      <c r="D331" s="2"/>
      <c r="G331" s="2"/>
      <c r="H331" s="2"/>
    </row>
    <row r="332">
      <c r="C332" s="2"/>
      <c r="D332" s="2"/>
      <c r="G332" s="2"/>
      <c r="H332" s="2"/>
    </row>
    <row r="333">
      <c r="C333" s="2"/>
      <c r="D333" s="2"/>
      <c r="G333" s="2"/>
      <c r="H333" s="2"/>
    </row>
    <row r="334">
      <c r="C334" s="2"/>
      <c r="D334" s="2"/>
      <c r="G334" s="2"/>
      <c r="H334" s="2"/>
    </row>
    <row r="335">
      <c r="C335" s="2"/>
      <c r="D335" s="2"/>
      <c r="G335" s="2"/>
      <c r="H335" s="2"/>
    </row>
    <row r="336">
      <c r="C336" s="2"/>
      <c r="D336" s="2"/>
      <c r="G336" s="2"/>
      <c r="H336" s="2"/>
    </row>
    <row r="337">
      <c r="C337" s="2"/>
      <c r="D337" s="2"/>
      <c r="G337" s="2"/>
      <c r="H337" s="2"/>
    </row>
    <row r="338">
      <c r="C338" s="2"/>
      <c r="D338" s="2"/>
      <c r="G338" s="2"/>
      <c r="H338" s="2"/>
    </row>
    <row r="339">
      <c r="C339" s="2"/>
      <c r="D339" s="2"/>
      <c r="G339" s="2"/>
      <c r="H339" s="2"/>
    </row>
    <row r="340">
      <c r="C340" s="2"/>
      <c r="D340" s="2"/>
      <c r="G340" s="2"/>
      <c r="H340" s="2"/>
    </row>
    <row r="341">
      <c r="C341" s="2"/>
      <c r="D341" s="2"/>
      <c r="G341" s="2"/>
      <c r="H341" s="2"/>
    </row>
    <row r="342">
      <c r="C342" s="2"/>
      <c r="D342" s="2"/>
      <c r="G342" s="2"/>
      <c r="H342" s="2"/>
    </row>
    <row r="343">
      <c r="C343" s="2"/>
      <c r="D343" s="2"/>
      <c r="G343" s="2"/>
      <c r="H343" s="2"/>
    </row>
    <row r="344">
      <c r="C344" s="2"/>
      <c r="D344" s="2"/>
      <c r="G344" s="2"/>
      <c r="H344" s="2"/>
    </row>
    <row r="345">
      <c r="C345" s="2"/>
      <c r="D345" s="2"/>
      <c r="G345" s="2"/>
      <c r="H345" s="2"/>
    </row>
    <row r="346">
      <c r="C346" s="2"/>
      <c r="D346" s="2"/>
      <c r="G346" s="2"/>
      <c r="H346" s="2"/>
    </row>
    <row r="347">
      <c r="C347" s="2"/>
      <c r="D347" s="2"/>
      <c r="G347" s="2"/>
      <c r="H347" s="2"/>
    </row>
    <row r="348">
      <c r="C348" s="2"/>
      <c r="D348" s="2"/>
      <c r="G348" s="2"/>
      <c r="H348" s="2"/>
    </row>
    <row r="349">
      <c r="C349" s="2"/>
      <c r="D349" s="2"/>
      <c r="G349" s="2"/>
      <c r="H349" s="2"/>
    </row>
    <row r="350">
      <c r="C350" s="2"/>
      <c r="D350" s="2"/>
      <c r="G350" s="2"/>
      <c r="H350" s="2"/>
    </row>
    <row r="351">
      <c r="C351" s="2"/>
      <c r="D351" s="2"/>
      <c r="G351" s="2"/>
      <c r="H351" s="2"/>
    </row>
    <row r="352">
      <c r="C352" s="2"/>
      <c r="D352" s="2"/>
      <c r="G352" s="2"/>
      <c r="H352" s="2"/>
    </row>
    <row r="353">
      <c r="C353" s="2"/>
      <c r="D353" s="2"/>
      <c r="G353" s="2"/>
      <c r="H353" s="2"/>
    </row>
    <row r="354">
      <c r="C354" s="2"/>
      <c r="D354" s="2"/>
      <c r="G354" s="2"/>
      <c r="H354" s="2"/>
    </row>
    <row r="355">
      <c r="C355" s="2"/>
      <c r="D355" s="2"/>
      <c r="G355" s="2"/>
      <c r="H355" s="2"/>
    </row>
    <row r="356">
      <c r="C356" s="2"/>
      <c r="D356" s="2"/>
      <c r="G356" s="2"/>
      <c r="H356" s="2"/>
    </row>
    <row r="357">
      <c r="C357" s="2"/>
      <c r="D357" s="2"/>
      <c r="G357" s="2"/>
      <c r="H357" s="2"/>
    </row>
    <row r="358">
      <c r="C358" s="2"/>
      <c r="D358" s="2"/>
      <c r="G358" s="2"/>
      <c r="H358" s="2"/>
    </row>
    <row r="359">
      <c r="C359" s="2"/>
      <c r="D359" s="2"/>
      <c r="G359" s="2"/>
      <c r="H359" s="2"/>
    </row>
    <row r="360">
      <c r="C360" s="2"/>
      <c r="D360" s="2"/>
      <c r="G360" s="2"/>
      <c r="H360" s="2"/>
    </row>
    <row r="361">
      <c r="C361" s="2"/>
      <c r="D361" s="2"/>
      <c r="G361" s="2"/>
      <c r="H361" s="2"/>
    </row>
    <row r="362">
      <c r="C362" s="2"/>
      <c r="D362" s="2"/>
      <c r="G362" s="2"/>
      <c r="H362" s="2"/>
    </row>
    <row r="363">
      <c r="C363" s="2"/>
      <c r="D363" s="2"/>
      <c r="G363" s="2"/>
      <c r="H363" s="2"/>
    </row>
    <row r="364">
      <c r="C364" s="2"/>
      <c r="D364" s="2"/>
      <c r="G364" s="2"/>
      <c r="H364" s="2"/>
    </row>
    <row r="365">
      <c r="C365" s="2"/>
      <c r="D365" s="2"/>
      <c r="G365" s="2"/>
      <c r="H365" s="2"/>
    </row>
    <row r="366">
      <c r="C366" s="2"/>
      <c r="D366" s="2"/>
      <c r="G366" s="2"/>
      <c r="H366" s="2"/>
    </row>
    <row r="367">
      <c r="C367" s="2"/>
      <c r="D367" s="2"/>
      <c r="G367" s="2"/>
      <c r="H367" s="2"/>
    </row>
    <row r="368">
      <c r="C368" s="2"/>
      <c r="D368" s="2"/>
      <c r="G368" s="2"/>
      <c r="H368" s="2"/>
    </row>
    <row r="369">
      <c r="C369" s="2"/>
      <c r="D369" s="2"/>
      <c r="G369" s="2"/>
      <c r="H369" s="2"/>
    </row>
    <row r="370">
      <c r="C370" s="2"/>
      <c r="D370" s="2"/>
      <c r="G370" s="2"/>
      <c r="H370" s="2"/>
    </row>
    <row r="371">
      <c r="C371" s="2"/>
      <c r="D371" s="2"/>
      <c r="G371" s="2"/>
      <c r="H371" s="2"/>
    </row>
    <row r="372">
      <c r="C372" s="2"/>
      <c r="D372" s="2"/>
      <c r="G372" s="2"/>
      <c r="H372" s="2"/>
    </row>
    <row r="373">
      <c r="C373" s="2"/>
      <c r="D373" s="2"/>
      <c r="G373" s="2"/>
      <c r="H373" s="2"/>
    </row>
    <row r="374">
      <c r="C374" s="2"/>
      <c r="D374" s="2"/>
      <c r="G374" s="2"/>
      <c r="H374" s="2"/>
    </row>
    <row r="375">
      <c r="C375" s="2"/>
      <c r="D375" s="2"/>
      <c r="G375" s="2"/>
      <c r="H375" s="2"/>
    </row>
    <row r="376">
      <c r="C376" s="2"/>
      <c r="D376" s="2"/>
      <c r="G376" s="2"/>
      <c r="H376" s="2"/>
    </row>
    <row r="377">
      <c r="C377" s="2"/>
      <c r="D377" s="2"/>
      <c r="G377" s="2"/>
      <c r="H377" s="2"/>
    </row>
    <row r="378">
      <c r="C378" s="2"/>
      <c r="D378" s="2"/>
      <c r="G378" s="2"/>
      <c r="H378" s="2"/>
    </row>
    <row r="379">
      <c r="C379" s="2"/>
      <c r="D379" s="2"/>
      <c r="G379" s="2"/>
      <c r="H379" s="2"/>
    </row>
    <row r="380">
      <c r="C380" s="2"/>
      <c r="D380" s="2"/>
      <c r="G380" s="2"/>
      <c r="H380" s="2"/>
    </row>
    <row r="381">
      <c r="C381" s="2"/>
      <c r="D381" s="2"/>
      <c r="G381" s="2"/>
      <c r="H381" s="2"/>
    </row>
    <row r="382">
      <c r="C382" s="2"/>
      <c r="D382" s="2"/>
      <c r="G382" s="2"/>
      <c r="H382" s="2"/>
    </row>
    <row r="383">
      <c r="C383" s="2"/>
      <c r="D383" s="2"/>
      <c r="G383" s="2"/>
      <c r="H383" s="2"/>
    </row>
    <row r="384">
      <c r="C384" s="2"/>
      <c r="D384" s="2"/>
      <c r="G384" s="2"/>
      <c r="H384" s="2"/>
    </row>
    <row r="385">
      <c r="C385" s="2"/>
      <c r="D385" s="2"/>
      <c r="G385" s="2"/>
      <c r="H385" s="2"/>
    </row>
    <row r="386">
      <c r="C386" s="2"/>
      <c r="D386" s="2"/>
      <c r="G386" s="2"/>
      <c r="H386" s="2"/>
    </row>
    <row r="387">
      <c r="C387" s="2"/>
      <c r="D387" s="2"/>
      <c r="G387" s="2"/>
      <c r="H387" s="2"/>
    </row>
    <row r="388">
      <c r="C388" s="2"/>
      <c r="D388" s="2"/>
      <c r="G388" s="2"/>
      <c r="H388" s="2"/>
    </row>
    <row r="389">
      <c r="C389" s="2"/>
      <c r="D389" s="2"/>
      <c r="G389" s="2"/>
      <c r="H389" s="2"/>
    </row>
    <row r="390">
      <c r="C390" s="2"/>
      <c r="D390" s="2"/>
      <c r="G390" s="2"/>
      <c r="H390" s="2"/>
    </row>
    <row r="391">
      <c r="C391" s="2"/>
      <c r="D391" s="2"/>
      <c r="G391" s="2"/>
      <c r="H391" s="2"/>
    </row>
    <row r="392">
      <c r="C392" s="2"/>
      <c r="D392" s="2"/>
      <c r="G392" s="2"/>
      <c r="H392" s="2"/>
    </row>
    <row r="393">
      <c r="C393" s="2"/>
      <c r="D393" s="2"/>
      <c r="G393" s="2"/>
      <c r="H393" s="2"/>
    </row>
    <row r="394">
      <c r="C394" s="2"/>
      <c r="D394" s="2"/>
      <c r="G394" s="2"/>
      <c r="H394" s="2"/>
    </row>
    <row r="395">
      <c r="C395" s="2"/>
      <c r="D395" s="2"/>
      <c r="G395" s="2"/>
      <c r="H395" s="2"/>
    </row>
    <row r="396">
      <c r="C396" s="2"/>
      <c r="D396" s="2"/>
      <c r="G396" s="2"/>
      <c r="H396" s="2"/>
    </row>
    <row r="397">
      <c r="C397" s="2"/>
      <c r="D397" s="2"/>
      <c r="G397" s="2"/>
      <c r="H397" s="2"/>
    </row>
    <row r="398">
      <c r="C398" s="2"/>
      <c r="D398" s="2"/>
      <c r="G398" s="2"/>
      <c r="H398" s="2"/>
    </row>
    <row r="399">
      <c r="C399" s="2"/>
      <c r="D399" s="2"/>
      <c r="G399" s="2"/>
      <c r="H399" s="2"/>
    </row>
    <row r="400">
      <c r="C400" s="2"/>
      <c r="D400" s="2"/>
      <c r="G400" s="2"/>
      <c r="H400" s="2"/>
    </row>
    <row r="401">
      <c r="C401" s="2"/>
      <c r="D401" s="2"/>
      <c r="G401" s="2"/>
      <c r="H401" s="2"/>
    </row>
    <row r="402">
      <c r="C402" s="2"/>
      <c r="D402" s="2"/>
      <c r="G402" s="2"/>
      <c r="H402" s="2"/>
    </row>
    <row r="403">
      <c r="C403" s="2"/>
      <c r="D403" s="2"/>
      <c r="G403" s="2"/>
      <c r="H403" s="2"/>
    </row>
    <row r="404">
      <c r="C404" s="2"/>
      <c r="D404" s="2"/>
      <c r="G404" s="2"/>
      <c r="H404" s="2"/>
    </row>
    <row r="405">
      <c r="C405" s="2"/>
      <c r="D405" s="2"/>
      <c r="G405" s="2"/>
      <c r="H405" s="2"/>
    </row>
    <row r="406">
      <c r="C406" s="2"/>
      <c r="D406" s="2"/>
      <c r="G406" s="2"/>
      <c r="H406" s="2"/>
    </row>
    <row r="407">
      <c r="C407" s="2"/>
      <c r="D407" s="2"/>
      <c r="G407" s="2"/>
      <c r="H407" s="2"/>
    </row>
    <row r="408">
      <c r="C408" s="2"/>
      <c r="D408" s="2"/>
      <c r="G408" s="2"/>
      <c r="H408" s="2"/>
    </row>
    <row r="409">
      <c r="C409" s="2"/>
      <c r="D409" s="2"/>
      <c r="G409" s="2"/>
      <c r="H409" s="2"/>
    </row>
    <row r="410">
      <c r="C410" s="2"/>
      <c r="D410" s="2"/>
      <c r="G410" s="2"/>
      <c r="H410" s="2"/>
    </row>
    <row r="411">
      <c r="C411" s="2"/>
      <c r="D411" s="2"/>
      <c r="G411" s="2"/>
      <c r="H411" s="2"/>
    </row>
    <row r="412">
      <c r="C412" s="2"/>
      <c r="D412" s="2"/>
      <c r="G412" s="2"/>
      <c r="H412" s="2"/>
    </row>
    <row r="413">
      <c r="C413" s="2"/>
      <c r="D413" s="2"/>
      <c r="G413" s="2"/>
      <c r="H413" s="2"/>
    </row>
    <row r="414">
      <c r="C414" s="2"/>
      <c r="D414" s="2"/>
      <c r="G414" s="2"/>
      <c r="H414" s="2"/>
    </row>
    <row r="415">
      <c r="C415" s="2"/>
      <c r="D415" s="2"/>
      <c r="G415" s="2"/>
      <c r="H415" s="2"/>
    </row>
    <row r="416">
      <c r="C416" s="2"/>
      <c r="D416" s="2"/>
      <c r="G416" s="2"/>
      <c r="H416" s="2"/>
    </row>
    <row r="417">
      <c r="C417" s="2"/>
      <c r="D417" s="2"/>
      <c r="G417" s="2"/>
      <c r="H417" s="2"/>
    </row>
    <row r="418">
      <c r="C418" s="2"/>
      <c r="D418" s="2"/>
      <c r="G418" s="2"/>
      <c r="H418" s="2"/>
    </row>
    <row r="419">
      <c r="C419" s="2"/>
      <c r="D419" s="2"/>
      <c r="G419" s="2"/>
      <c r="H419" s="2"/>
    </row>
    <row r="420">
      <c r="C420" s="2"/>
      <c r="D420" s="2"/>
      <c r="G420" s="2"/>
      <c r="H420" s="2"/>
    </row>
    <row r="421">
      <c r="C421" s="2"/>
      <c r="D421" s="2"/>
      <c r="G421" s="2"/>
      <c r="H421" s="2"/>
    </row>
    <row r="422">
      <c r="C422" s="2"/>
      <c r="D422" s="2"/>
      <c r="G422" s="2"/>
      <c r="H422" s="2"/>
    </row>
    <row r="423">
      <c r="C423" s="2"/>
      <c r="D423" s="2"/>
      <c r="G423" s="2"/>
      <c r="H423" s="2"/>
    </row>
    <row r="424">
      <c r="C424" s="2"/>
      <c r="D424" s="2"/>
      <c r="G424" s="2"/>
      <c r="H424" s="2"/>
    </row>
    <row r="425">
      <c r="C425" s="2"/>
      <c r="D425" s="2"/>
      <c r="G425" s="2"/>
      <c r="H425" s="2"/>
    </row>
    <row r="426">
      <c r="C426" s="2"/>
      <c r="D426" s="2"/>
      <c r="G426" s="2"/>
      <c r="H426" s="2"/>
    </row>
    <row r="427">
      <c r="C427" s="2"/>
      <c r="D427" s="2"/>
      <c r="G427" s="2"/>
      <c r="H427" s="2"/>
    </row>
    <row r="428">
      <c r="C428" s="2"/>
      <c r="D428" s="2"/>
      <c r="G428" s="2"/>
      <c r="H428" s="2"/>
    </row>
    <row r="429">
      <c r="C429" s="2"/>
      <c r="D429" s="2"/>
      <c r="G429" s="2"/>
      <c r="H429" s="2"/>
    </row>
    <row r="430">
      <c r="C430" s="2"/>
      <c r="D430" s="2"/>
      <c r="G430" s="2"/>
      <c r="H430" s="2"/>
    </row>
    <row r="431">
      <c r="C431" s="2"/>
      <c r="D431" s="2"/>
      <c r="G431" s="2"/>
      <c r="H431" s="2"/>
    </row>
    <row r="432">
      <c r="C432" s="2"/>
      <c r="D432" s="2"/>
      <c r="G432" s="2"/>
      <c r="H432" s="2"/>
    </row>
    <row r="433">
      <c r="C433" s="2"/>
      <c r="D433" s="2"/>
      <c r="G433" s="2"/>
      <c r="H433" s="2"/>
    </row>
    <row r="434">
      <c r="C434" s="2"/>
      <c r="D434" s="2"/>
      <c r="G434" s="2"/>
      <c r="H434" s="2"/>
    </row>
    <row r="435">
      <c r="C435" s="2"/>
      <c r="D435" s="2"/>
      <c r="G435" s="2"/>
      <c r="H435" s="2"/>
    </row>
    <row r="436">
      <c r="C436" s="2"/>
      <c r="D436" s="2"/>
      <c r="G436" s="2"/>
      <c r="H436" s="2"/>
    </row>
    <row r="437">
      <c r="C437" s="2"/>
      <c r="D437" s="2"/>
      <c r="G437" s="2"/>
      <c r="H437" s="2"/>
    </row>
    <row r="438">
      <c r="C438" s="2"/>
      <c r="D438" s="2"/>
      <c r="G438" s="2"/>
      <c r="H438" s="2"/>
    </row>
    <row r="439">
      <c r="C439" s="2"/>
      <c r="D439" s="2"/>
      <c r="G439" s="2"/>
      <c r="H439" s="2"/>
    </row>
    <row r="440">
      <c r="C440" s="2"/>
      <c r="D440" s="2"/>
      <c r="G440" s="2"/>
      <c r="H440" s="2"/>
    </row>
    <row r="441">
      <c r="C441" s="2"/>
      <c r="D441" s="2"/>
      <c r="G441" s="2"/>
      <c r="H441" s="2"/>
    </row>
    <row r="442">
      <c r="C442" s="2"/>
      <c r="D442" s="2"/>
      <c r="G442" s="2"/>
      <c r="H442" s="2"/>
    </row>
    <row r="443">
      <c r="C443" s="2"/>
      <c r="D443" s="2"/>
      <c r="G443" s="2"/>
      <c r="H443" s="2"/>
    </row>
    <row r="444">
      <c r="C444" s="2"/>
      <c r="D444" s="2"/>
      <c r="G444" s="2"/>
      <c r="H444" s="2"/>
    </row>
    <row r="445">
      <c r="C445" s="2"/>
      <c r="D445" s="2"/>
      <c r="G445" s="2"/>
      <c r="H445" s="2"/>
    </row>
    <row r="446">
      <c r="C446" s="2"/>
      <c r="D446" s="2"/>
      <c r="G446" s="2"/>
      <c r="H446" s="2"/>
    </row>
    <row r="447">
      <c r="C447" s="2"/>
      <c r="D447" s="2"/>
      <c r="G447" s="2"/>
      <c r="H447" s="2"/>
    </row>
    <row r="448">
      <c r="C448" s="2"/>
      <c r="D448" s="2"/>
      <c r="G448" s="2"/>
      <c r="H448" s="2"/>
    </row>
    <row r="449">
      <c r="C449" s="2"/>
      <c r="D449" s="2"/>
      <c r="G449" s="2"/>
      <c r="H449" s="2"/>
    </row>
    <row r="450">
      <c r="C450" s="2"/>
      <c r="D450" s="2"/>
      <c r="G450" s="2"/>
      <c r="H450" s="2"/>
    </row>
    <row r="451">
      <c r="C451" s="2"/>
      <c r="D451" s="2"/>
      <c r="G451" s="2"/>
      <c r="H451" s="2"/>
    </row>
    <row r="452">
      <c r="C452" s="2"/>
      <c r="D452" s="2"/>
      <c r="G452" s="2"/>
      <c r="H452" s="2"/>
    </row>
    <row r="453">
      <c r="C453" s="2"/>
      <c r="D453" s="2"/>
      <c r="G453" s="2"/>
      <c r="H453" s="2"/>
    </row>
    <row r="454">
      <c r="C454" s="2"/>
      <c r="D454" s="2"/>
      <c r="G454" s="2"/>
      <c r="H454" s="2"/>
    </row>
    <row r="455">
      <c r="C455" s="2"/>
      <c r="D455" s="2"/>
      <c r="G455" s="2"/>
      <c r="H455" s="2"/>
    </row>
    <row r="456">
      <c r="C456" s="2"/>
      <c r="D456" s="2"/>
      <c r="G456" s="2"/>
      <c r="H456" s="2"/>
    </row>
    <row r="457">
      <c r="C457" s="2"/>
      <c r="D457" s="2"/>
      <c r="G457" s="2"/>
      <c r="H457" s="2"/>
    </row>
    <row r="458">
      <c r="C458" s="2"/>
      <c r="D458" s="2"/>
      <c r="G458" s="2"/>
      <c r="H458" s="2"/>
    </row>
    <row r="459">
      <c r="C459" s="2"/>
      <c r="D459" s="2"/>
      <c r="G459" s="2"/>
      <c r="H459" s="2"/>
    </row>
    <row r="460">
      <c r="C460" s="2"/>
      <c r="D460" s="2"/>
      <c r="G460" s="2"/>
      <c r="H460" s="2"/>
    </row>
    <row r="461">
      <c r="C461" s="2"/>
      <c r="D461" s="2"/>
      <c r="G461" s="2"/>
      <c r="H461" s="2"/>
    </row>
    <row r="462">
      <c r="C462" s="2"/>
      <c r="D462" s="2"/>
      <c r="G462" s="2"/>
      <c r="H462" s="2"/>
    </row>
    <row r="463">
      <c r="C463" s="2"/>
      <c r="D463" s="2"/>
      <c r="G463" s="2"/>
      <c r="H463" s="2"/>
    </row>
    <row r="464">
      <c r="C464" s="2"/>
      <c r="D464" s="2"/>
      <c r="G464" s="2"/>
      <c r="H464" s="2"/>
    </row>
    <row r="465">
      <c r="C465" s="2"/>
      <c r="D465" s="2"/>
      <c r="G465" s="2"/>
      <c r="H465" s="2"/>
    </row>
    <row r="466">
      <c r="C466" s="2"/>
      <c r="D466" s="2"/>
      <c r="G466" s="2"/>
      <c r="H466" s="2"/>
    </row>
    <row r="467">
      <c r="C467" s="2"/>
      <c r="D467" s="2"/>
      <c r="G467" s="2"/>
      <c r="H467" s="2"/>
    </row>
    <row r="468">
      <c r="C468" s="2"/>
      <c r="D468" s="2"/>
      <c r="G468" s="2"/>
      <c r="H468" s="2"/>
    </row>
    <row r="469">
      <c r="C469" s="2"/>
      <c r="D469" s="2"/>
      <c r="G469" s="2"/>
      <c r="H469" s="2"/>
    </row>
    <row r="470">
      <c r="C470" s="2"/>
      <c r="D470" s="2"/>
      <c r="G470" s="2"/>
      <c r="H470" s="2"/>
    </row>
    <row r="471">
      <c r="C471" s="2"/>
      <c r="D471" s="2"/>
      <c r="G471" s="2"/>
      <c r="H471" s="2"/>
    </row>
    <row r="472">
      <c r="C472" s="2"/>
      <c r="D472" s="2"/>
      <c r="G472" s="2"/>
      <c r="H472" s="2"/>
    </row>
    <row r="473">
      <c r="C473" s="2"/>
      <c r="D473" s="2"/>
      <c r="G473" s="2"/>
      <c r="H473" s="2"/>
    </row>
    <row r="474">
      <c r="C474" s="2"/>
      <c r="D474" s="2"/>
      <c r="G474" s="2"/>
      <c r="H474" s="2"/>
    </row>
    <row r="475">
      <c r="C475" s="2"/>
      <c r="D475" s="2"/>
      <c r="G475" s="2"/>
      <c r="H475" s="2"/>
    </row>
    <row r="476">
      <c r="C476" s="2"/>
      <c r="D476" s="2"/>
      <c r="G476" s="2"/>
      <c r="H476" s="2"/>
    </row>
    <row r="477">
      <c r="C477" s="2"/>
      <c r="D477" s="2"/>
      <c r="G477" s="2"/>
      <c r="H477" s="2"/>
    </row>
    <row r="478">
      <c r="C478" s="2"/>
      <c r="D478" s="2"/>
      <c r="G478" s="2"/>
      <c r="H478" s="2"/>
    </row>
    <row r="479">
      <c r="C479" s="2"/>
      <c r="D479" s="2"/>
      <c r="G479" s="2"/>
      <c r="H479" s="2"/>
    </row>
    <row r="480">
      <c r="C480" s="2"/>
      <c r="D480" s="2"/>
      <c r="G480" s="2"/>
      <c r="H480" s="2"/>
    </row>
    <row r="481">
      <c r="C481" s="2"/>
      <c r="D481" s="2"/>
      <c r="G481" s="2"/>
      <c r="H481" s="2"/>
    </row>
    <row r="482">
      <c r="C482" s="2"/>
      <c r="D482" s="2"/>
      <c r="G482" s="2"/>
      <c r="H482" s="2"/>
    </row>
    <row r="483">
      <c r="C483" s="2"/>
      <c r="D483" s="2"/>
      <c r="G483" s="2"/>
      <c r="H483" s="2"/>
    </row>
    <row r="484">
      <c r="C484" s="2"/>
      <c r="D484" s="2"/>
      <c r="G484" s="2"/>
      <c r="H484" s="2"/>
    </row>
    <row r="485">
      <c r="C485" s="2"/>
      <c r="D485" s="2"/>
      <c r="G485" s="2"/>
      <c r="H485" s="2"/>
    </row>
    <row r="486">
      <c r="C486" s="2"/>
      <c r="D486" s="2"/>
      <c r="G486" s="2"/>
      <c r="H486" s="2"/>
    </row>
    <row r="487">
      <c r="C487" s="2"/>
      <c r="D487" s="2"/>
      <c r="G487" s="2"/>
      <c r="H487" s="2"/>
    </row>
    <row r="488">
      <c r="C488" s="2"/>
      <c r="D488" s="2"/>
      <c r="G488" s="2"/>
      <c r="H488" s="2"/>
    </row>
    <row r="489">
      <c r="C489" s="2"/>
      <c r="D489" s="2"/>
      <c r="G489" s="2"/>
      <c r="H489" s="2"/>
    </row>
    <row r="490">
      <c r="C490" s="2"/>
      <c r="D490" s="2"/>
      <c r="G490" s="2"/>
      <c r="H490" s="2"/>
    </row>
    <row r="491">
      <c r="C491" s="2"/>
      <c r="D491" s="2"/>
      <c r="G491" s="2"/>
      <c r="H491" s="2"/>
    </row>
    <row r="492">
      <c r="C492" s="2"/>
      <c r="D492" s="2"/>
      <c r="G492" s="2"/>
      <c r="H492" s="2"/>
    </row>
    <row r="493">
      <c r="C493" s="2"/>
      <c r="D493" s="2"/>
      <c r="G493" s="2"/>
      <c r="H493" s="2"/>
    </row>
    <row r="494">
      <c r="C494" s="2"/>
      <c r="D494" s="2"/>
      <c r="G494" s="2"/>
      <c r="H494" s="2"/>
    </row>
    <row r="495">
      <c r="C495" s="2"/>
      <c r="D495" s="2"/>
      <c r="G495" s="2"/>
      <c r="H495" s="2"/>
    </row>
    <row r="496">
      <c r="C496" s="2"/>
      <c r="D496" s="2"/>
      <c r="G496" s="2"/>
      <c r="H496" s="2"/>
    </row>
    <row r="497">
      <c r="C497" s="2"/>
      <c r="D497" s="2"/>
      <c r="G497" s="2"/>
      <c r="H497" s="2"/>
    </row>
    <row r="498">
      <c r="C498" s="2"/>
      <c r="D498" s="2"/>
      <c r="G498" s="2"/>
      <c r="H498" s="2"/>
    </row>
    <row r="499">
      <c r="C499" s="2"/>
      <c r="D499" s="2"/>
      <c r="G499" s="2"/>
      <c r="H499" s="2"/>
    </row>
    <row r="500">
      <c r="C500" s="2"/>
      <c r="D500" s="2"/>
      <c r="G500" s="2"/>
      <c r="H500" s="2"/>
    </row>
    <row r="501">
      <c r="C501" s="2"/>
      <c r="D501" s="2"/>
      <c r="G501" s="2"/>
      <c r="H501" s="2"/>
    </row>
    <row r="502">
      <c r="C502" s="2"/>
      <c r="D502" s="2"/>
      <c r="G502" s="2"/>
      <c r="H502" s="2"/>
    </row>
    <row r="503">
      <c r="C503" s="2"/>
      <c r="D503" s="2"/>
      <c r="G503" s="2"/>
      <c r="H503" s="2"/>
    </row>
    <row r="504">
      <c r="C504" s="2"/>
      <c r="D504" s="2"/>
      <c r="G504" s="2"/>
      <c r="H504" s="2"/>
    </row>
    <row r="505">
      <c r="C505" s="2"/>
      <c r="D505" s="2"/>
      <c r="G505" s="2"/>
      <c r="H505" s="2"/>
    </row>
    <row r="506">
      <c r="C506" s="2"/>
      <c r="D506" s="2"/>
      <c r="G506" s="2"/>
      <c r="H506" s="2"/>
    </row>
    <row r="507">
      <c r="C507" s="2"/>
      <c r="D507" s="2"/>
      <c r="G507" s="2"/>
      <c r="H507" s="2"/>
    </row>
    <row r="508">
      <c r="C508" s="2"/>
      <c r="D508" s="2"/>
      <c r="G508" s="2"/>
      <c r="H508" s="2"/>
    </row>
    <row r="509">
      <c r="C509" s="2"/>
      <c r="D509" s="2"/>
      <c r="G509" s="2"/>
      <c r="H509" s="2"/>
    </row>
    <row r="510">
      <c r="C510" s="2"/>
      <c r="D510" s="2"/>
      <c r="G510" s="2"/>
      <c r="H510" s="2"/>
    </row>
    <row r="511">
      <c r="C511" s="2"/>
      <c r="D511" s="2"/>
      <c r="G511" s="2"/>
      <c r="H511" s="2"/>
    </row>
    <row r="512">
      <c r="C512" s="2"/>
      <c r="D512" s="2"/>
      <c r="G512" s="2"/>
      <c r="H512" s="2"/>
    </row>
    <row r="513">
      <c r="C513" s="2"/>
      <c r="D513" s="2"/>
      <c r="G513" s="2"/>
      <c r="H513" s="2"/>
    </row>
    <row r="514">
      <c r="C514" s="2"/>
      <c r="D514" s="2"/>
      <c r="G514" s="2"/>
      <c r="H514" s="2"/>
    </row>
    <row r="515">
      <c r="C515" s="2"/>
      <c r="D515" s="2"/>
      <c r="G515" s="2"/>
      <c r="H515" s="2"/>
    </row>
    <row r="516">
      <c r="C516" s="2"/>
      <c r="D516" s="2"/>
      <c r="G516" s="2"/>
      <c r="H516" s="2"/>
    </row>
    <row r="517">
      <c r="C517" s="2"/>
      <c r="D517" s="2"/>
      <c r="G517" s="2"/>
      <c r="H517" s="2"/>
    </row>
    <row r="518">
      <c r="C518" s="2"/>
      <c r="D518" s="2"/>
      <c r="G518" s="2"/>
      <c r="H518" s="2"/>
    </row>
    <row r="519">
      <c r="C519" s="2"/>
      <c r="D519" s="2"/>
      <c r="G519" s="2"/>
      <c r="H519" s="2"/>
    </row>
    <row r="520">
      <c r="C520" s="2"/>
      <c r="D520" s="2"/>
      <c r="G520" s="2"/>
      <c r="H520" s="2"/>
    </row>
    <row r="521">
      <c r="C521" s="2"/>
      <c r="D521" s="2"/>
      <c r="G521" s="2"/>
      <c r="H521" s="2"/>
    </row>
    <row r="522">
      <c r="C522" s="2"/>
      <c r="D522" s="2"/>
      <c r="G522" s="2"/>
      <c r="H522" s="2"/>
    </row>
    <row r="523">
      <c r="C523" s="2"/>
      <c r="D523" s="2"/>
      <c r="G523" s="2"/>
      <c r="H523" s="2"/>
    </row>
    <row r="524">
      <c r="C524" s="2"/>
      <c r="D524" s="2"/>
      <c r="G524" s="2"/>
      <c r="H524" s="2"/>
    </row>
    <row r="525">
      <c r="C525" s="2"/>
      <c r="D525" s="2"/>
      <c r="G525" s="2"/>
      <c r="H525" s="2"/>
    </row>
    <row r="526">
      <c r="C526" s="2"/>
      <c r="D526" s="2"/>
      <c r="G526" s="2"/>
      <c r="H526" s="2"/>
    </row>
    <row r="527">
      <c r="C527" s="2"/>
      <c r="D527" s="2"/>
      <c r="G527" s="2"/>
      <c r="H527" s="2"/>
    </row>
    <row r="528">
      <c r="C528" s="2"/>
      <c r="D528" s="2"/>
      <c r="G528" s="2"/>
      <c r="H528" s="2"/>
    </row>
    <row r="529">
      <c r="C529" s="2"/>
      <c r="D529" s="2"/>
      <c r="G529" s="2"/>
      <c r="H529" s="2"/>
    </row>
    <row r="530">
      <c r="C530" s="2"/>
      <c r="D530" s="2"/>
      <c r="G530" s="2"/>
      <c r="H530" s="2"/>
    </row>
    <row r="531">
      <c r="C531" s="2"/>
      <c r="D531" s="2"/>
      <c r="G531" s="2"/>
      <c r="H531" s="2"/>
    </row>
    <row r="532">
      <c r="C532" s="2"/>
      <c r="D532" s="2"/>
      <c r="G532" s="2"/>
      <c r="H532" s="2"/>
    </row>
    <row r="533">
      <c r="C533" s="2"/>
      <c r="D533" s="2"/>
      <c r="G533" s="2"/>
      <c r="H533" s="2"/>
    </row>
    <row r="534">
      <c r="C534" s="2"/>
      <c r="D534" s="2"/>
      <c r="G534" s="2"/>
      <c r="H534" s="2"/>
    </row>
    <row r="535">
      <c r="C535" s="2"/>
      <c r="D535" s="2"/>
      <c r="G535" s="2"/>
      <c r="H535" s="2"/>
    </row>
    <row r="536">
      <c r="C536" s="2"/>
      <c r="D536" s="2"/>
      <c r="G536" s="2"/>
      <c r="H536" s="2"/>
    </row>
    <row r="537">
      <c r="C537" s="2"/>
      <c r="D537" s="2"/>
      <c r="G537" s="2"/>
      <c r="H537" s="2"/>
    </row>
    <row r="538">
      <c r="C538" s="2"/>
      <c r="D538" s="2"/>
      <c r="G538" s="2"/>
      <c r="H538" s="2"/>
    </row>
    <row r="539">
      <c r="C539" s="2"/>
      <c r="D539" s="2"/>
      <c r="G539" s="2"/>
      <c r="H539" s="2"/>
    </row>
    <row r="540">
      <c r="C540" s="2"/>
      <c r="D540" s="2"/>
      <c r="G540" s="2"/>
      <c r="H540" s="2"/>
    </row>
    <row r="541">
      <c r="C541" s="2"/>
      <c r="D541" s="2"/>
      <c r="G541" s="2"/>
      <c r="H541" s="2"/>
    </row>
    <row r="542">
      <c r="C542" s="2"/>
      <c r="D542" s="2"/>
      <c r="G542" s="2"/>
      <c r="H542" s="2"/>
    </row>
    <row r="543">
      <c r="C543" s="2"/>
      <c r="D543" s="2"/>
      <c r="G543" s="2"/>
      <c r="H543" s="2"/>
    </row>
    <row r="544">
      <c r="C544" s="2"/>
      <c r="D544" s="2"/>
      <c r="G544" s="2"/>
      <c r="H544" s="2"/>
    </row>
    <row r="545">
      <c r="C545" s="2"/>
      <c r="D545" s="2"/>
      <c r="G545" s="2"/>
      <c r="H545" s="2"/>
    </row>
    <row r="546">
      <c r="C546" s="2"/>
      <c r="D546" s="2"/>
      <c r="G546" s="2"/>
      <c r="H546" s="2"/>
    </row>
    <row r="547">
      <c r="C547" s="2"/>
      <c r="D547" s="2"/>
      <c r="G547" s="2"/>
      <c r="H547" s="2"/>
    </row>
    <row r="548">
      <c r="C548" s="2"/>
      <c r="D548" s="2"/>
      <c r="G548" s="2"/>
      <c r="H548" s="2"/>
    </row>
    <row r="549">
      <c r="C549" s="2"/>
      <c r="D549" s="2"/>
      <c r="G549" s="2"/>
      <c r="H549" s="2"/>
    </row>
    <row r="550">
      <c r="C550" s="2"/>
      <c r="D550" s="2"/>
      <c r="G550" s="2"/>
      <c r="H550" s="2"/>
    </row>
    <row r="551">
      <c r="C551" s="2"/>
      <c r="D551" s="2"/>
      <c r="G551" s="2"/>
      <c r="H551" s="2"/>
    </row>
    <row r="552">
      <c r="C552" s="2"/>
      <c r="D552" s="2"/>
      <c r="G552" s="2"/>
      <c r="H552" s="2"/>
    </row>
    <row r="553">
      <c r="C553" s="2"/>
      <c r="D553" s="2"/>
      <c r="G553" s="2"/>
      <c r="H553" s="2"/>
    </row>
    <row r="554">
      <c r="C554" s="2"/>
      <c r="D554" s="2"/>
      <c r="G554" s="2"/>
      <c r="H554" s="2"/>
    </row>
    <row r="555">
      <c r="C555" s="2"/>
      <c r="D555" s="2"/>
      <c r="G555" s="2"/>
      <c r="H555" s="2"/>
    </row>
    <row r="556">
      <c r="C556" s="2"/>
      <c r="D556" s="2"/>
      <c r="G556" s="2"/>
      <c r="H556" s="2"/>
    </row>
    <row r="557">
      <c r="C557" s="2"/>
      <c r="D557" s="2"/>
      <c r="G557" s="2"/>
      <c r="H557" s="2"/>
    </row>
    <row r="558">
      <c r="C558" s="2"/>
      <c r="D558" s="2"/>
      <c r="G558" s="2"/>
      <c r="H558" s="2"/>
    </row>
    <row r="559">
      <c r="C559" s="2"/>
      <c r="D559" s="2"/>
      <c r="G559" s="2"/>
      <c r="H559" s="2"/>
    </row>
    <row r="560">
      <c r="C560" s="2"/>
      <c r="D560" s="2"/>
      <c r="G560" s="2"/>
      <c r="H560" s="2"/>
    </row>
    <row r="561">
      <c r="C561" s="2"/>
      <c r="D561" s="2"/>
      <c r="G561" s="2"/>
      <c r="H561" s="2"/>
    </row>
    <row r="562">
      <c r="C562" s="2"/>
      <c r="D562" s="2"/>
      <c r="G562" s="2"/>
      <c r="H562" s="2"/>
    </row>
    <row r="563">
      <c r="C563" s="2"/>
      <c r="D563" s="2"/>
      <c r="G563" s="2"/>
      <c r="H563" s="2"/>
    </row>
    <row r="564">
      <c r="C564" s="2"/>
      <c r="D564" s="2"/>
      <c r="G564" s="2"/>
      <c r="H564" s="2"/>
    </row>
    <row r="565">
      <c r="C565" s="2"/>
      <c r="D565" s="2"/>
      <c r="G565" s="2"/>
      <c r="H565" s="2"/>
    </row>
    <row r="566">
      <c r="C566" s="2"/>
      <c r="D566" s="2"/>
      <c r="G566" s="2"/>
      <c r="H566" s="2"/>
    </row>
    <row r="567">
      <c r="C567" s="2"/>
      <c r="D567" s="2"/>
      <c r="G567" s="2"/>
      <c r="H567" s="2"/>
    </row>
    <row r="568">
      <c r="C568" s="2"/>
      <c r="D568" s="2"/>
      <c r="G568" s="2"/>
      <c r="H568" s="2"/>
    </row>
    <row r="569">
      <c r="C569" s="2"/>
      <c r="D569" s="2"/>
      <c r="G569" s="2"/>
      <c r="H569" s="2"/>
    </row>
    <row r="570">
      <c r="C570" s="2"/>
      <c r="D570" s="2"/>
      <c r="G570" s="2"/>
      <c r="H570" s="2"/>
    </row>
    <row r="571">
      <c r="C571" s="2"/>
      <c r="D571" s="2"/>
      <c r="G571" s="2"/>
      <c r="H571" s="2"/>
    </row>
    <row r="572">
      <c r="C572" s="2"/>
      <c r="D572" s="2"/>
      <c r="G572" s="2"/>
      <c r="H572" s="2"/>
    </row>
    <row r="573">
      <c r="C573" s="2"/>
      <c r="D573" s="2"/>
      <c r="G573" s="2"/>
      <c r="H573" s="2"/>
    </row>
    <row r="574">
      <c r="C574" s="2"/>
      <c r="D574" s="2"/>
      <c r="G574" s="2"/>
      <c r="H574" s="2"/>
    </row>
    <row r="575">
      <c r="C575" s="2"/>
      <c r="D575" s="2"/>
      <c r="G575" s="2"/>
      <c r="H575" s="2"/>
    </row>
    <row r="576">
      <c r="C576" s="2"/>
      <c r="D576" s="2"/>
      <c r="G576" s="2"/>
      <c r="H576" s="2"/>
    </row>
    <row r="577">
      <c r="C577" s="2"/>
      <c r="D577" s="2"/>
      <c r="G577" s="2"/>
      <c r="H577" s="2"/>
    </row>
    <row r="578">
      <c r="C578" s="2"/>
      <c r="D578" s="2"/>
      <c r="G578" s="2"/>
      <c r="H578" s="2"/>
    </row>
    <row r="579">
      <c r="C579" s="2"/>
      <c r="D579" s="2"/>
      <c r="G579" s="2"/>
      <c r="H579" s="2"/>
    </row>
    <row r="580">
      <c r="C580" s="2"/>
      <c r="D580" s="2"/>
      <c r="G580" s="2"/>
      <c r="H580" s="2"/>
    </row>
    <row r="581">
      <c r="C581" s="2"/>
      <c r="D581" s="2"/>
      <c r="G581" s="2"/>
      <c r="H581" s="2"/>
    </row>
    <row r="582">
      <c r="C582" s="2"/>
      <c r="D582" s="2"/>
      <c r="G582" s="2"/>
      <c r="H582" s="2"/>
    </row>
    <row r="583">
      <c r="C583" s="2"/>
      <c r="D583" s="2"/>
      <c r="G583" s="2"/>
      <c r="H583" s="2"/>
    </row>
    <row r="584">
      <c r="C584" s="2"/>
      <c r="D584" s="2"/>
      <c r="G584" s="2"/>
      <c r="H584" s="2"/>
    </row>
    <row r="585">
      <c r="C585" s="2"/>
      <c r="D585" s="2"/>
      <c r="G585" s="2"/>
      <c r="H585" s="2"/>
    </row>
    <row r="586">
      <c r="C586" s="2"/>
      <c r="D586" s="2"/>
      <c r="G586" s="2"/>
      <c r="H586" s="2"/>
    </row>
    <row r="587">
      <c r="C587" s="2"/>
      <c r="D587" s="2"/>
      <c r="G587" s="2"/>
      <c r="H587" s="2"/>
    </row>
    <row r="588">
      <c r="C588" s="2"/>
      <c r="D588" s="2"/>
      <c r="G588" s="2"/>
      <c r="H588" s="2"/>
    </row>
    <row r="589">
      <c r="C589" s="2"/>
      <c r="D589" s="2"/>
      <c r="G589" s="2"/>
      <c r="H589" s="2"/>
    </row>
    <row r="590">
      <c r="C590" s="2"/>
      <c r="D590" s="2"/>
      <c r="G590" s="2"/>
      <c r="H590" s="2"/>
    </row>
    <row r="591">
      <c r="C591" s="2"/>
      <c r="D591" s="2"/>
      <c r="G591" s="2"/>
      <c r="H591" s="2"/>
    </row>
    <row r="592">
      <c r="C592" s="2"/>
      <c r="D592" s="2"/>
      <c r="G592" s="2"/>
      <c r="H592" s="2"/>
    </row>
    <row r="593">
      <c r="C593" s="2"/>
      <c r="D593" s="2"/>
      <c r="G593" s="2"/>
      <c r="H593" s="2"/>
    </row>
    <row r="594">
      <c r="C594" s="2"/>
      <c r="D594" s="2"/>
      <c r="G594" s="2"/>
      <c r="H594" s="2"/>
    </row>
    <row r="595">
      <c r="C595" s="2"/>
      <c r="D595" s="2"/>
      <c r="G595" s="2"/>
      <c r="H595" s="2"/>
    </row>
    <row r="596">
      <c r="C596" s="2"/>
      <c r="D596" s="2"/>
      <c r="G596" s="2"/>
      <c r="H596" s="2"/>
    </row>
    <row r="597">
      <c r="C597" s="2"/>
      <c r="D597" s="2"/>
      <c r="G597" s="2"/>
      <c r="H597" s="2"/>
    </row>
    <row r="598">
      <c r="C598" s="2"/>
      <c r="D598" s="2"/>
      <c r="G598" s="2"/>
      <c r="H598" s="2"/>
    </row>
    <row r="599">
      <c r="C599" s="2"/>
      <c r="D599" s="2"/>
      <c r="G599" s="2"/>
      <c r="H599" s="2"/>
    </row>
    <row r="600">
      <c r="C600" s="2"/>
      <c r="D600" s="2"/>
      <c r="G600" s="2"/>
      <c r="H600" s="2"/>
    </row>
    <row r="601">
      <c r="C601" s="2"/>
      <c r="D601" s="2"/>
      <c r="G601" s="2"/>
      <c r="H601" s="2"/>
    </row>
    <row r="602">
      <c r="C602" s="2"/>
      <c r="D602" s="2"/>
      <c r="G602" s="2"/>
      <c r="H602" s="2"/>
    </row>
    <row r="603">
      <c r="C603" s="2"/>
      <c r="D603" s="2"/>
      <c r="G603" s="2"/>
      <c r="H603" s="2"/>
    </row>
    <row r="604">
      <c r="C604" s="2"/>
      <c r="D604" s="2"/>
      <c r="G604" s="2"/>
      <c r="H604" s="2"/>
    </row>
    <row r="605">
      <c r="C605" s="2"/>
      <c r="D605" s="2"/>
      <c r="G605" s="2"/>
      <c r="H605" s="2"/>
    </row>
    <row r="606">
      <c r="C606" s="2"/>
      <c r="D606" s="2"/>
      <c r="G606" s="2"/>
      <c r="H606" s="2"/>
    </row>
    <row r="607">
      <c r="C607" s="2"/>
      <c r="D607" s="2"/>
      <c r="G607" s="2"/>
      <c r="H607" s="2"/>
    </row>
    <row r="608">
      <c r="C608" s="2"/>
      <c r="D608" s="2"/>
      <c r="G608" s="2"/>
      <c r="H608" s="2"/>
    </row>
    <row r="609">
      <c r="C609" s="2"/>
      <c r="D609" s="2"/>
      <c r="G609" s="2"/>
      <c r="H609" s="2"/>
    </row>
    <row r="610">
      <c r="C610" s="2"/>
      <c r="D610" s="2"/>
      <c r="G610" s="2"/>
      <c r="H610" s="2"/>
    </row>
    <row r="611">
      <c r="C611" s="2"/>
      <c r="D611" s="2"/>
      <c r="G611" s="2"/>
      <c r="H611" s="2"/>
    </row>
    <row r="612">
      <c r="C612" s="2"/>
      <c r="D612" s="2"/>
      <c r="G612" s="2"/>
      <c r="H612" s="2"/>
    </row>
    <row r="613">
      <c r="C613" s="2"/>
      <c r="D613" s="2"/>
      <c r="G613" s="2"/>
      <c r="H613" s="2"/>
    </row>
    <row r="614">
      <c r="C614" s="2"/>
      <c r="D614" s="2"/>
      <c r="G614" s="2"/>
      <c r="H614" s="2"/>
    </row>
    <row r="615">
      <c r="C615" s="2"/>
      <c r="D615" s="2"/>
      <c r="G615" s="2"/>
      <c r="H615" s="2"/>
    </row>
    <row r="616">
      <c r="C616" s="2"/>
      <c r="D616" s="2"/>
      <c r="G616" s="2"/>
      <c r="H616" s="2"/>
    </row>
    <row r="617">
      <c r="C617" s="2"/>
      <c r="D617" s="2"/>
      <c r="G617" s="2"/>
      <c r="H617" s="2"/>
    </row>
    <row r="618">
      <c r="C618" s="2"/>
      <c r="D618" s="2"/>
      <c r="G618" s="2"/>
      <c r="H618" s="2"/>
    </row>
    <row r="619">
      <c r="C619" s="2"/>
      <c r="D619" s="2"/>
      <c r="G619" s="2"/>
      <c r="H619" s="2"/>
    </row>
    <row r="620">
      <c r="C620" s="2"/>
      <c r="D620" s="2"/>
      <c r="G620" s="2"/>
      <c r="H620" s="2"/>
    </row>
    <row r="621">
      <c r="C621" s="2"/>
      <c r="D621" s="2"/>
      <c r="G621" s="2"/>
      <c r="H621" s="2"/>
    </row>
    <row r="622">
      <c r="C622" s="2"/>
      <c r="D622" s="2"/>
      <c r="G622" s="2"/>
      <c r="H622" s="2"/>
    </row>
    <row r="623">
      <c r="C623" s="2"/>
      <c r="D623" s="2"/>
      <c r="G623" s="2"/>
      <c r="H623" s="2"/>
    </row>
    <row r="624">
      <c r="C624" s="2"/>
      <c r="D624" s="2"/>
      <c r="G624" s="2"/>
      <c r="H624" s="2"/>
    </row>
    <row r="625">
      <c r="C625" s="2"/>
      <c r="D625" s="2"/>
      <c r="G625" s="2"/>
      <c r="H625" s="2"/>
    </row>
    <row r="626">
      <c r="C626" s="2"/>
      <c r="D626" s="2"/>
      <c r="G626" s="2"/>
      <c r="H626" s="2"/>
    </row>
    <row r="627">
      <c r="C627" s="2"/>
      <c r="D627" s="2"/>
      <c r="G627" s="2"/>
      <c r="H627" s="2"/>
    </row>
    <row r="628">
      <c r="C628" s="2"/>
      <c r="D628" s="2"/>
      <c r="G628" s="2"/>
      <c r="H628" s="2"/>
    </row>
    <row r="629">
      <c r="C629" s="2"/>
      <c r="D629" s="2"/>
      <c r="G629" s="2"/>
      <c r="H629" s="2"/>
    </row>
    <row r="630">
      <c r="C630" s="2"/>
      <c r="D630" s="2"/>
      <c r="G630" s="2"/>
      <c r="H630" s="2"/>
    </row>
    <row r="631">
      <c r="C631" s="2"/>
      <c r="D631" s="2"/>
      <c r="G631" s="2"/>
      <c r="H631" s="2"/>
    </row>
    <row r="632">
      <c r="C632" s="2"/>
      <c r="D632" s="2"/>
      <c r="G632" s="2"/>
      <c r="H632" s="2"/>
    </row>
    <row r="633">
      <c r="C633" s="2"/>
      <c r="D633" s="2"/>
      <c r="G633" s="2"/>
      <c r="H633" s="2"/>
    </row>
    <row r="634">
      <c r="C634" s="2"/>
      <c r="D634" s="2"/>
      <c r="G634" s="2"/>
      <c r="H634" s="2"/>
    </row>
    <row r="635">
      <c r="C635" s="2"/>
      <c r="D635" s="2"/>
      <c r="G635" s="2"/>
      <c r="H635" s="2"/>
    </row>
    <row r="636">
      <c r="C636" s="2"/>
      <c r="D636" s="2"/>
      <c r="G636" s="2"/>
      <c r="H636" s="2"/>
    </row>
    <row r="637">
      <c r="C637" s="2"/>
      <c r="D637" s="2"/>
      <c r="G637" s="2"/>
      <c r="H637" s="2"/>
    </row>
    <row r="638">
      <c r="C638" s="2"/>
      <c r="D638" s="2"/>
      <c r="G638" s="2"/>
      <c r="H638" s="2"/>
    </row>
    <row r="639">
      <c r="C639" s="2"/>
      <c r="D639" s="2"/>
      <c r="G639" s="2"/>
      <c r="H639" s="2"/>
    </row>
    <row r="640">
      <c r="C640" s="2"/>
      <c r="D640" s="2"/>
      <c r="G640" s="2"/>
      <c r="H640" s="2"/>
    </row>
    <row r="641">
      <c r="C641" s="2"/>
      <c r="D641" s="2"/>
      <c r="G641" s="2"/>
      <c r="H641" s="2"/>
    </row>
    <row r="642">
      <c r="C642" s="2"/>
      <c r="D642" s="2"/>
      <c r="G642" s="2"/>
      <c r="H642" s="2"/>
    </row>
    <row r="643">
      <c r="C643" s="2"/>
      <c r="D643" s="2"/>
      <c r="G643" s="2"/>
      <c r="H643" s="2"/>
    </row>
    <row r="644">
      <c r="C644" s="2"/>
      <c r="D644" s="2"/>
      <c r="G644" s="2"/>
      <c r="H644" s="2"/>
    </row>
    <row r="645">
      <c r="C645" s="2"/>
      <c r="D645" s="2"/>
      <c r="G645" s="2"/>
      <c r="H645" s="2"/>
    </row>
    <row r="646">
      <c r="C646" s="2"/>
      <c r="D646" s="2"/>
      <c r="G646" s="2"/>
      <c r="H646" s="2"/>
    </row>
    <row r="647">
      <c r="C647" s="2"/>
      <c r="D647" s="2"/>
      <c r="G647" s="2"/>
      <c r="H647" s="2"/>
    </row>
    <row r="648">
      <c r="C648" s="2"/>
      <c r="D648" s="2"/>
      <c r="G648" s="2"/>
      <c r="H648" s="2"/>
    </row>
    <row r="649">
      <c r="C649" s="2"/>
      <c r="D649" s="2"/>
      <c r="G649" s="2"/>
      <c r="H649" s="2"/>
    </row>
    <row r="650">
      <c r="C650" s="2"/>
      <c r="D650" s="2"/>
      <c r="G650" s="2"/>
      <c r="H650" s="2"/>
    </row>
    <row r="651">
      <c r="C651" s="2"/>
      <c r="D651" s="2"/>
      <c r="G651" s="2"/>
      <c r="H651" s="2"/>
    </row>
    <row r="652">
      <c r="C652" s="2"/>
      <c r="D652" s="2"/>
      <c r="G652" s="2"/>
      <c r="H652" s="2"/>
    </row>
    <row r="653">
      <c r="C653" s="2"/>
      <c r="D653" s="2"/>
      <c r="G653" s="2"/>
      <c r="H653" s="2"/>
    </row>
    <row r="654">
      <c r="C654" s="2"/>
      <c r="D654" s="2"/>
      <c r="G654" s="2"/>
      <c r="H654" s="2"/>
    </row>
    <row r="655">
      <c r="C655" s="2"/>
      <c r="D655" s="2"/>
      <c r="G655" s="2"/>
      <c r="H655" s="2"/>
    </row>
    <row r="656">
      <c r="C656" s="2"/>
      <c r="D656" s="2"/>
      <c r="G656" s="2"/>
      <c r="H656" s="2"/>
    </row>
    <row r="657">
      <c r="C657" s="2"/>
      <c r="D657" s="2"/>
      <c r="G657" s="2"/>
      <c r="H657" s="2"/>
    </row>
    <row r="658">
      <c r="C658" s="2"/>
      <c r="D658" s="2"/>
      <c r="G658" s="2"/>
      <c r="H658" s="2"/>
    </row>
    <row r="659">
      <c r="C659" s="2"/>
      <c r="D659" s="2"/>
      <c r="G659" s="2"/>
      <c r="H659" s="2"/>
    </row>
    <row r="660">
      <c r="C660" s="2"/>
      <c r="D660" s="2"/>
      <c r="G660" s="2"/>
      <c r="H660" s="2"/>
    </row>
    <row r="661">
      <c r="C661" s="2"/>
      <c r="D661" s="2"/>
      <c r="G661" s="2"/>
      <c r="H661" s="2"/>
    </row>
    <row r="662">
      <c r="C662" s="2"/>
      <c r="D662" s="2"/>
      <c r="G662" s="2"/>
      <c r="H662" s="2"/>
    </row>
    <row r="663">
      <c r="C663" s="2"/>
      <c r="D663" s="2"/>
      <c r="G663" s="2"/>
      <c r="H663" s="2"/>
    </row>
    <row r="664">
      <c r="C664" s="2"/>
      <c r="D664" s="2"/>
      <c r="G664" s="2"/>
      <c r="H664" s="2"/>
    </row>
    <row r="665">
      <c r="C665" s="2"/>
      <c r="D665" s="2"/>
      <c r="G665" s="2"/>
      <c r="H665" s="2"/>
    </row>
    <row r="666">
      <c r="C666" s="2"/>
      <c r="D666" s="2"/>
      <c r="G666" s="2"/>
      <c r="H666" s="2"/>
    </row>
    <row r="667">
      <c r="C667" s="2"/>
      <c r="D667" s="2"/>
      <c r="G667" s="2"/>
      <c r="H667" s="2"/>
    </row>
    <row r="668">
      <c r="C668" s="2"/>
      <c r="D668" s="2"/>
      <c r="G668" s="2"/>
      <c r="H668" s="2"/>
    </row>
    <row r="669">
      <c r="C669" s="2"/>
      <c r="D669" s="2"/>
      <c r="G669" s="2"/>
      <c r="H669" s="2"/>
    </row>
    <row r="670">
      <c r="C670" s="2"/>
      <c r="D670" s="2"/>
      <c r="G670" s="2"/>
      <c r="H670" s="2"/>
    </row>
    <row r="671">
      <c r="C671" s="2"/>
      <c r="D671" s="2"/>
      <c r="G671" s="2"/>
      <c r="H671" s="2"/>
    </row>
    <row r="672">
      <c r="C672" s="2"/>
      <c r="D672" s="2"/>
      <c r="G672" s="2"/>
      <c r="H672" s="2"/>
    </row>
    <row r="673">
      <c r="C673" s="2"/>
      <c r="D673" s="2"/>
      <c r="G673" s="2"/>
      <c r="H673" s="2"/>
    </row>
    <row r="674">
      <c r="C674" s="2"/>
      <c r="D674" s="2"/>
      <c r="G674" s="2"/>
      <c r="H674" s="2"/>
    </row>
    <row r="675">
      <c r="C675" s="2"/>
      <c r="D675" s="2"/>
      <c r="G675" s="2"/>
      <c r="H675" s="2"/>
    </row>
    <row r="676">
      <c r="C676" s="2"/>
      <c r="D676" s="2"/>
      <c r="G676" s="2"/>
      <c r="H676" s="2"/>
    </row>
    <row r="677">
      <c r="C677" s="2"/>
      <c r="D677" s="2"/>
      <c r="G677" s="2"/>
      <c r="H677" s="2"/>
    </row>
    <row r="678">
      <c r="C678" s="2"/>
      <c r="D678" s="2"/>
      <c r="G678" s="2"/>
      <c r="H678" s="2"/>
    </row>
    <row r="679">
      <c r="C679" s="2"/>
      <c r="D679" s="2"/>
      <c r="G679" s="2"/>
      <c r="H679" s="2"/>
    </row>
    <row r="680">
      <c r="C680" s="2"/>
      <c r="D680" s="2"/>
      <c r="G680" s="2"/>
      <c r="H680" s="2"/>
    </row>
    <row r="681">
      <c r="C681" s="2"/>
      <c r="D681" s="2"/>
      <c r="G681" s="2"/>
      <c r="H681" s="2"/>
    </row>
    <row r="682">
      <c r="C682" s="2"/>
      <c r="D682" s="2"/>
      <c r="G682" s="2"/>
      <c r="H682" s="2"/>
    </row>
    <row r="683">
      <c r="C683" s="2"/>
      <c r="D683" s="2"/>
      <c r="G683" s="2"/>
      <c r="H683" s="2"/>
    </row>
    <row r="684">
      <c r="C684" s="2"/>
      <c r="D684" s="2"/>
      <c r="G684" s="2"/>
      <c r="H684" s="2"/>
    </row>
    <row r="685">
      <c r="C685" s="2"/>
      <c r="D685" s="2"/>
      <c r="G685" s="2"/>
      <c r="H685" s="2"/>
    </row>
    <row r="686">
      <c r="C686" s="2"/>
      <c r="D686" s="2"/>
      <c r="G686" s="2"/>
      <c r="H686" s="2"/>
    </row>
    <row r="687">
      <c r="C687" s="2"/>
      <c r="D687" s="2"/>
      <c r="G687" s="2"/>
      <c r="H687" s="2"/>
    </row>
    <row r="688">
      <c r="C688" s="2"/>
      <c r="D688" s="2"/>
      <c r="G688" s="2"/>
      <c r="H688" s="2"/>
    </row>
    <row r="689">
      <c r="C689" s="2"/>
      <c r="D689" s="2"/>
      <c r="G689" s="2"/>
      <c r="H689" s="2"/>
    </row>
    <row r="690">
      <c r="C690" s="2"/>
      <c r="D690" s="2"/>
      <c r="G690" s="2"/>
      <c r="H690" s="2"/>
    </row>
    <row r="691">
      <c r="C691" s="2"/>
      <c r="D691" s="2"/>
      <c r="G691" s="2"/>
      <c r="H691" s="2"/>
    </row>
    <row r="692">
      <c r="C692" s="2"/>
      <c r="D692" s="2"/>
      <c r="G692" s="2"/>
      <c r="H692" s="2"/>
    </row>
    <row r="693">
      <c r="C693" s="2"/>
      <c r="D693" s="2"/>
      <c r="G693" s="2"/>
      <c r="H693" s="2"/>
    </row>
    <row r="694">
      <c r="C694" s="2"/>
      <c r="D694" s="2"/>
      <c r="G694" s="2"/>
      <c r="H694" s="2"/>
    </row>
    <row r="695">
      <c r="C695" s="2"/>
      <c r="D695" s="2"/>
      <c r="G695" s="2"/>
      <c r="H695" s="2"/>
    </row>
    <row r="696">
      <c r="C696" s="2"/>
      <c r="D696" s="2"/>
      <c r="G696" s="2"/>
      <c r="H696" s="2"/>
    </row>
    <row r="697">
      <c r="C697" s="2"/>
      <c r="D697" s="2"/>
      <c r="G697" s="2"/>
      <c r="H697" s="2"/>
    </row>
    <row r="698">
      <c r="C698" s="2"/>
      <c r="D698" s="2"/>
      <c r="G698" s="2"/>
      <c r="H698" s="2"/>
    </row>
    <row r="699">
      <c r="C699" s="2"/>
      <c r="D699" s="2"/>
      <c r="G699" s="2"/>
      <c r="H699" s="2"/>
    </row>
    <row r="700">
      <c r="C700" s="2"/>
      <c r="D700" s="2"/>
      <c r="G700" s="2"/>
      <c r="H700" s="2"/>
    </row>
    <row r="701">
      <c r="C701" s="2"/>
      <c r="D701" s="2"/>
      <c r="G701" s="2"/>
      <c r="H701" s="2"/>
    </row>
    <row r="702">
      <c r="C702" s="2"/>
      <c r="D702" s="2"/>
      <c r="G702" s="2"/>
      <c r="H702" s="2"/>
    </row>
    <row r="703">
      <c r="C703" s="2"/>
      <c r="D703" s="2"/>
      <c r="G703" s="2"/>
      <c r="H703" s="2"/>
    </row>
    <row r="704">
      <c r="C704" s="2"/>
      <c r="D704" s="2"/>
      <c r="G704" s="2"/>
      <c r="H704" s="2"/>
    </row>
    <row r="705">
      <c r="C705" s="2"/>
      <c r="D705" s="2"/>
      <c r="G705" s="2"/>
      <c r="H705" s="2"/>
    </row>
    <row r="706">
      <c r="C706" s="2"/>
      <c r="D706" s="2"/>
      <c r="G706" s="2"/>
      <c r="H706" s="2"/>
    </row>
    <row r="707">
      <c r="C707" s="2"/>
      <c r="D707" s="2"/>
      <c r="G707" s="2"/>
      <c r="H707" s="2"/>
    </row>
    <row r="708">
      <c r="C708" s="2"/>
      <c r="D708" s="2"/>
      <c r="G708" s="2"/>
      <c r="H708" s="2"/>
    </row>
    <row r="709">
      <c r="C709" s="2"/>
      <c r="D709" s="2"/>
      <c r="G709" s="2"/>
      <c r="H709" s="2"/>
    </row>
    <row r="710">
      <c r="C710" s="2"/>
      <c r="D710" s="2"/>
      <c r="G710" s="2"/>
      <c r="H710" s="2"/>
    </row>
    <row r="711">
      <c r="C711" s="2"/>
      <c r="D711" s="2"/>
      <c r="G711" s="2"/>
      <c r="H711" s="2"/>
    </row>
    <row r="712">
      <c r="C712" s="2"/>
      <c r="D712" s="2"/>
      <c r="G712" s="2"/>
      <c r="H712" s="2"/>
    </row>
    <row r="713">
      <c r="C713" s="2"/>
      <c r="D713" s="2"/>
      <c r="G713" s="2"/>
      <c r="H713" s="2"/>
    </row>
    <row r="714">
      <c r="C714" s="2"/>
      <c r="D714" s="2"/>
      <c r="G714" s="2"/>
      <c r="H714" s="2"/>
    </row>
    <row r="715">
      <c r="C715" s="2"/>
      <c r="D715" s="2"/>
      <c r="G715" s="2"/>
      <c r="H715" s="2"/>
    </row>
    <row r="716">
      <c r="C716" s="2"/>
      <c r="D716" s="2"/>
      <c r="G716" s="2"/>
      <c r="H716" s="2"/>
    </row>
    <row r="717">
      <c r="C717" s="2"/>
      <c r="D717" s="2"/>
      <c r="G717" s="2"/>
      <c r="H717" s="2"/>
    </row>
    <row r="718">
      <c r="C718" s="2"/>
      <c r="D718" s="2"/>
      <c r="G718" s="2"/>
      <c r="H718" s="2"/>
    </row>
    <row r="719">
      <c r="C719" s="2"/>
      <c r="D719" s="2"/>
      <c r="G719" s="2"/>
      <c r="H719" s="2"/>
    </row>
    <row r="720">
      <c r="C720" s="2"/>
      <c r="D720" s="2"/>
      <c r="G720" s="2"/>
      <c r="H720" s="2"/>
    </row>
    <row r="721">
      <c r="C721" s="2"/>
      <c r="D721" s="2"/>
      <c r="G721" s="2"/>
      <c r="H721" s="2"/>
    </row>
    <row r="722">
      <c r="C722" s="2"/>
      <c r="D722" s="2"/>
      <c r="G722" s="2"/>
      <c r="H722" s="2"/>
    </row>
    <row r="723">
      <c r="C723" s="2"/>
      <c r="D723" s="2"/>
      <c r="G723" s="2"/>
      <c r="H723" s="2"/>
    </row>
    <row r="724">
      <c r="C724" s="2"/>
      <c r="D724" s="2"/>
      <c r="G724" s="2"/>
      <c r="H724" s="2"/>
    </row>
    <row r="725">
      <c r="C725" s="2"/>
      <c r="D725" s="2"/>
      <c r="G725" s="2"/>
      <c r="H725" s="2"/>
    </row>
    <row r="726">
      <c r="C726" s="2"/>
      <c r="D726" s="2"/>
      <c r="G726" s="2"/>
      <c r="H726" s="2"/>
    </row>
    <row r="727">
      <c r="C727" s="2"/>
      <c r="D727" s="2"/>
      <c r="G727" s="2"/>
      <c r="H727" s="2"/>
    </row>
    <row r="728">
      <c r="C728" s="2"/>
      <c r="D728" s="2"/>
      <c r="G728" s="2"/>
      <c r="H728" s="2"/>
    </row>
    <row r="729">
      <c r="C729" s="2"/>
      <c r="D729" s="2"/>
      <c r="G729" s="2"/>
      <c r="H729" s="2"/>
    </row>
    <row r="730">
      <c r="C730" s="2"/>
      <c r="D730" s="2"/>
      <c r="G730" s="2"/>
      <c r="H730" s="2"/>
    </row>
    <row r="731">
      <c r="C731" s="2"/>
      <c r="D731" s="2"/>
      <c r="G731" s="2"/>
      <c r="H731" s="2"/>
    </row>
    <row r="732">
      <c r="C732" s="2"/>
      <c r="D732" s="2"/>
      <c r="G732" s="2"/>
      <c r="H732" s="2"/>
    </row>
    <row r="733">
      <c r="C733" s="2"/>
      <c r="D733" s="2"/>
      <c r="G733" s="2"/>
      <c r="H733" s="2"/>
    </row>
    <row r="734">
      <c r="C734" s="2"/>
      <c r="D734" s="2"/>
      <c r="G734" s="2"/>
      <c r="H734" s="2"/>
    </row>
    <row r="735">
      <c r="C735" s="2"/>
      <c r="D735" s="2"/>
      <c r="G735" s="2"/>
      <c r="H735" s="2"/>
    </row>
    <row r="736">
      <c r="C736" s="2"/>
      <c r="D736" s="2"/>
      <c r="G736" s="2"/>
      <c r="H736" s="2"/>
    </row>
    <row r="737">
      <c r="C737" s="2"/>
      <c r="D737" s="2"/>
      <c r="G737" s="2"/>
      <c r="H737" s="2"/>
    </row>
    <row r="738">
      <c r="C738" s="2"/>
      <c r="D738" s="2"/>
      <c r="G738" s="2"/>
      <c r="H738" s="2"/>
    </row>
    <row r="739">
      <c r="C739" s="2"/>
      <c r="D739" s="2"/>
      <c r="G739" s="2"/>
      <c r="H739" s="2"/>
    </row>
    <row r="740">
      <c r="C740" s="2"/>
      <c r="D740" s="2"/>
      <c r="G740" s="2"/>
      <c r="H740" s="2"/>
    </row>
    <row r="741">
      <c r="C741" s="2"/>
      <c r="D741" s="2"/>
      <c r="G741" s="2"/>
      <c r="H741" s="2"/>
    </row>
    <row r="742">
      <c r="C742" s="2"/>
      <c r="D742" s="2"/>
      <c r="G742" s="2"/>
      <c r="H742" s="2"/>
    </row>
    <row r="743">
      <c r="C743" s="2"/>
      <c r="D743" s="2"/>
      <c r="G743" s="2"/>
      <c r="H743" s="2"/>
    </row>
    <row r="744">
      <c r="C744" s="2"/>
      <c r="D744" s="2"/>
      <c r="G744" s="2"/>
      <c r="H744" s="2"/>
    </row>
    <row r="745">
      <c r="C745" s="2"/>
      <c r="D745" s="2"/>
      <c r="G745" s="2"/>
      <c r="H745" s="2"/>
    </row>
    <row r="746">
      <c r="C746" s="2"/>
      <c r="D746" s="2"/>
      <c r="G746" s="2"/>
      <c r="H746" s="2"/>
    </row>
    <row r="747">
      <c r="C747" s="2"/>
      <c r="D747" s="2"/>
      <c r="G747" s="2"/>
      <c r="H747" s="2"/>
    </row>
    <row r="748">
      <c r="C748" s="2"/>
      <c r="D748" s="2"/>
      <c r="G748" s="2"/>
      <c r="H748" s="2"/>
    </row>
    <row r="749">
      <c r="C749" s="2"/>
      <c r="D749" s="2"/>
      <c r="G749" s="2"/>
      <c r="H749" s="2"/>
    </row>
    <row r="750">
      <c r="C750" s="2"/>
      <c r="D750" s="2"/>
      <c r="G750" s="2"/>
      <c r="H750" s="2"/>
    </row>
    <row r="751">
      <c r="C751" s="2"/>
      <c r="D751" s="2"/>
      <c r="G751" s="2"/>
      <c r="H751" s="2"/>
    </row>
    <row r="752">
      <c r="C752" s="2"/>
      <c r="D752" s="2"/>
      <c r="G752" s="2"/>
      <c r="H752" s="2"/>
    </row>
    <row r="753">
      <c r="C753" s="2"/>
      <c r="D753" s="2"/>
      <c r="G753" s="2"/>
      <c r="H753" s="2"/>
    </row>
    <row r="754">
      <c r="C754" s="2"/>
      <c r="D754" s="2"/>
      <c r="G754" s="2"/>
      <c r="H754" s="2"/>
    </row>
    <row r="755">
      <c r="C755" s="2"/>
      <c r="D755" s="2"/>
      <c r="G755" s="2"/>
      <c r="H755" s="2"/>
    </row>
    <row r="756">
      <c r="C756" s="2"/>
      <c r="D756" s="2"/>
      <c r="G756" s="2"/>
      <c r="H756" s="2"/>
    </row>
    <row r="757">
      <c r="C757" s="2"/>
      <c r="D757" s="2"/>
      <c r="G757" s="2"/>
      <c r="H757" s="2"/>
    </row>
    <row r="758">
      <c r="C758" s="2"/>
      <c r="D758" s="2"/>
      <c r="G758" s="2"/>
      <c r="H758" s="2"/>
    </row>
    <row r="759">
      <c r="C759" s="2"/>
      <c r="D759" s="2"/>
      <c r="G759" s="2"/>
      <c r="H759" s="2"/>
    </row>
    <row r="760">
      <c r="C760" s="2"/>
      <c r="D760" s="2"/>
      <c r="G760" s="2"/>
      <c r="H760" s="2"/>
    </row>
    <row r="761">
      <c r="C761" s="2"/>
      <c r="D761" s="2"/>
      <c r="G761" s="2"/>
      <c r="H761" s="2"/>
    </row>
    <row r="762">
      <c r="C762" s="2"/>
      <c r="D762" s="2"/>
      <c r="G762" s="2"/>
      <c r="H762" s="2"/>
    </row>
    <row r="763">
      <c r="C763" s="2"/>
      <c r="D763" s="2"/>
      <c r="G763" s="2"/>
      <c r="H763" s="2"/>
    </row>
    <row r="764">
      <c r="C764" s="2"/>
      <c r="D764" s="2"/>
      <c r="G764" s="2"/>
      <c r="H764" s="2"/>
    </row>
    <row r="765">
      <c r="C765" s="2"/>
      <c r="D765" s="2"/>
      <c r="G765" s="2"/>
      <c r="H765" s="2"/>
    </row>
    <row r="766">
      <c r="C766" s="2"/>
      <c r="D766" s="2"/>
      <c r="G766" s="2"/>
      <c r="H766" s="2"/>
    </row>
    <row r="767">
      <c r="C767" s="2"/>
      <c r="D767" s="2"/>
      <c r="G767" s="2"/>
      <c r="H767" s="2"/>
    </row>
    <row r="768">
      <c r="C768" s="2"/>
      <c r="D768" s="2"/>
      <c r="G768" s="2"/>
      <c r="H768" s="2"/>
    </row>
    <row r="769">
      <c r="C769" s="2"/>
      <c r="D769" s="2"/>
      <c r="G769" s="2"/>
      <c r="H769" s="2"/>
    </row>
    <row r="770">
      <c r="C770" s="2"/>
      <c r="D770" s="2"/>
      <c r="G770" s="2"/>
      <c r="H770" s="2"/>
    </row>
    <row r="771">
      <c r="C771" s="2"/>
      <c r="D771" s="2"/>
      <c r="G771" s="2"/>
      <c r="H771" s="2"/>
    </row>
    <row r="772">
      <c r="C772" s="2"/>
      <c r="D772" s="2"/>
      <c r="G772" s="2"/>
      <c r="H772" s="2"/>
    </row>
    <row r="773">
      <c r="C773" s="2"/>
      <c r="D773" s="2"/>
      <c r="G773" s="2"/>
      <c r="H773" s="2"/>
    </row>
    <row r="774">
      <c r="C774" s="2"/>
      <c r="D774" s="2"/>
      <c r="G774" s="2"/>
      <c r="H774" s="2"/>
    </row>
    <row r="775">
      <c r="C775" s="2"/>
      <c r="D775" s="2"/>
      <c r="G775" s="2"/>
      <c r="H775" s="2"/>
    </row>
    <row r="776">
      <c r="C776" s="2"/>
      <c r="D776" s="2"/>
      <c r="G776" s="2"/>
      <c r="H776" s="2"/>
    </row>
    <row r="777">
      <c r="C777" s="2"/>
      <c r="D777" s="2"/>
      <c r="G777" s="2"/>
      <c r="H777" s="2"/>
    </row>
    <row r="778">
      <c r="C778" s="2"/>
      <c r="D778" s="2"/>
      <c r="G778" s="2"/>
      <c r="H778" s="2"/>
    </row>
    <row r="779">
      <c r="C779" s="2"/>
      <c r="D779" s="2"/>
      <c r="G779" s="2"/>
      <c r="H779" s="2"/>
    </row>
    <row r="780">
      <c r="C780" s="2"/>
      <c r="D780" s="2"/>
      <c r="G780" s="2"/>
      <c r="H780" s="2"/>
    </row>
    <row r="781">
      <c r="C781" s="2"/>
      <c r="D781" s="2"/>
      <c r="G781" s="2"/>
      <c r="H781" s="2"/>
    </row>
    <row r="782">
      <c r="C782" s="2"/>
      <c r="D782" s="2"/>
      <c r="G782" s="2"/>
      <c r="H782" s="2"/>
    </row>
    <row r="783">
      <c r="C783" s="2"/>
      <c r="D783" s="2"/>
      <c r="G783" s="2"/>
      <c r="H783" s="2"/>
    </row>
    <row r="784">
      <c r="C784" s="2"/>
      <c r="D784" s="2"/>
      <c r="G784" s="2"/>
      <c r="H784" s="2"/>
    </row>
    <row r="785">
      <c r="C785" s="2"/>
      <c r="D785" s="2"/>
      <c r="G785" s="2"/>
      <c r="H785" s="2"/>
    </row>
    <row r="786">
      <c r="C786" s="2"/>
      <c r="D786" s="2"/>
      <c r="G786" s="2"/>
      <c r="H786" s="2"/>
    </row>
    <row r="787">
      <c r="C787" s="2"/>
      <c r="D787" s="2"/>
      <c r="G787" s="2"/>
      <c r="H787" s="2"/>
    </row>
    <row r="788">
      <c r="C788" s="2"/>
      <c r="D788" s="2"/>
      <c r="G788" s="2"/>
      <c r="H788" s="2"/>
    </row>
    <row r="789">
      <c r="C789" s="2"/>
      <c r="D789" s="2"/>
      <c r="G789" s="2"/>
      <c r="H789" s="2"/>
    </row>
    <row r="790">
      <c r="C790" s="2"/>
      <c r="D790" s="2"/>
      <c r="G790" s="2"/>
      <c r="H790" s="2"/>
    </row>
    <row r="791">
      <c r="C791" s="2"/>
      <c r="D791" s="2"/>
      <c r="G791" s="2"/>
      <c r="H791" s="2"/>
    </row>
    <row r="792">
      <c r="C792" s="2"/>
      <c r="D792" s="2"/>
      <c r="G792" s="2"/>
      <c r="H792" s="2"/>
    </row>
    <row r="793">
      <c r="C793" s="2"/>
      <c r="D793" s="2"/>
      <c r="G793" s="2"/>
      <c r="H793" s="2"/>
    </row>
    <row r="794">
      <c r="C794" s="2"/>
      <c r="D794" s="2"/>
      <c r="G794" s="2"/>
      <c r="H794" s="2"/>
    </row>
    <row r="795">
      <c r="C795" s="2"/>
      <c r="D795" s="2"/>
      <c r="G795" s="2"/>
      <c r="H795" s="2"/>
    </row>
    <row r="796">
      <c r="C796" s="2"/>
      <c r="D796" s="2"/>
      <c r="G796" s="2"/>
      <c r="H796" s="2"/>
    </row>
    <row r="797">
      <c r="C797" s="2"/>
      <c r="D797" s="2"/>
      <c r="G797" s="2"/>
      <c r="H797" s="2"/>
    </row>
    <row r="798">
      <c r="C798" s="2"/>
      <c r="D798" s="2"/>
      <c r="G798" s="2"/>
      <c r="H798" s="2"/>
    </row>
    <row r="799">
      <c r="C799" s="2"/>
      <c r="D799" s="2"/>
      <c r="G799" s="2"/>
      <c r="H799" s="2"/>
    </row>
    <row r="800">
      <c r="C800" s="2"/>
      <c r="D800" s="2"/>
      <c r="G800" s="2"/>
      <c r="H800" s="2"/>
    </row>
    <row r="801">
      <c r="C801" s="2"/>
      <c r="D801" s="2"/>
      <c r="G801" s="2"/>
      <c r="H801" s="2"/>
    </row>
    <row r="802">
      <c r="C802" s="2"/>
      <c r="D802" s="2"/>
      <c r="G802" s="2"/>
      <c r="H802" s="2"/>
    </row>
    <row r="803">
      <c r="C803" s="2"/>
      <c r="D803" s="2"/>
      <c r="G803" s="2"/>
      <c r="H803" s="2"/>
    </row>
    <row r="804">
      <c r="C804" s="2"/>
      <c r="D804" s="2"/>
      <c r="G804" s="2"/>
      <c r="H804" s="2"/>
    </row>
    <row r="805">
      <c r="C805" s="2"/>
      <c r="D805" s="2"/>
      <c r="G805" s="2"/>
      <c r="H805" s="2"/>
    </row>
    <row r="806">
      <c r="C806" s="2"/>
      <c r="D806" s="2"/>
      <c r="G806" s="2"/>
      <c r="H806" s="2"/>
    </row>
    <row r="807">
      <c r="C807" s="2"/>
      <c r="D807" s="2"/>
      <c r="G807" s="2"/>
      <c r="H807" s="2"/>
    </row>
    <row r="808">
      <c r="C808" s="2"/>
      <c r="D808" s="2"/>
      <c r="G808" s="2"/>
      <c r="H808" s="2"/>
    </row>
    <row r="809">
      <c r="C809" s="2"/>
      <c r="D809" s="2"/>
      <c r="G809" s="2"/>
      <c r="H809" s="2"/>
    </row>
    <row r="810">
      <c r="C810" s="2"/>
      <c r="D810" s="2"/>
      <c r="G810" s="2"/>
      <c r="H810" s="2"/>
    </row>
    <row r="811">
      <c r="C811" s="2"/>
      <c r="D811" s="2"/>
      <c r="G811" s="2"/>
      <c r="H811" s="2"/>
    </row>
    <row r="812">
      <c r="C812" s="2"/>
      <c r="D812" s="2"/>
      <c r="G812" s="2"/>
      <c r="H812" s="2"/>
    </row>
    <row r="813">
      <c r="C813" s="2"/>
      <c r="D813" s="2"/>
      <c r="G813" s="2"/>
      <c r="H813" s="2"/>
    </row>
    <row r="814">
      <c r="C814" s="2"/>
      <c r="D814" s="2"/>
      <c r="G814" s="2"/>
      <c r="H814" s="2"/>
    </row>
    <row r="815">
      <c r="C815" s="2"/>
      <c r="D815" s="2"/>
      <c r="G815" s="2"/>
      <c r="H815" s="2"/>
    </row>
    <row r="816">
      <c r="C816" s="2"/>
      <c r="D816" s="2"/>
      <c r="G816" s="2"/>
      <c r="H816" s="2"/>
    </row>
    <row r="817">
      <c r="C817" s="2"/>
      <c r="D817" s="2"/>
      <c r="G817" s="2"/>
      <c r="H817" s="2"/>
    </row>
    <row r="818">
      <c r="C818" s="2"/>
      <c r="D818" s="2"/>
      <c r="G818" s="2"/>
      <c r="H818" s="2"/>
    </row>
    <row r="819">
      <c r="C819" s="2"/>
      <c r="D819" s="2"/>
      <c r="G819" s="2"/>
      <c r="H819" s="2"/>
    </row>
    <row r="820">
      <c r="C820" s="2"/>
      <c r="D820" s="2"/>
      <c r="G820" s="2"/>
      <c r="H820" s="2"/>
    </row>
    <row r="821">
      <c r="C821" s="2"/>
      <c r="D821" s="2"/>
      <c r="G821" s="2"/>
      <c r="H821" s="2"/>
    </row>
    <row r="822">
      <c r="C822" s="2"/>
      <c r="D822" s="2"/>
      <c r="G822" s="2"/>
      <c r="H822" s="2"/>
    </row>
    <row r="823">
      <c r="C823" s="2"/>
      <c r="D823" s="2"/>
      <c r="G823" s="2"/>
      <c r="H823" s="2"/>
    </row>
    <row r="824">
      <c r="C824" s="2"/>
      <c r="D824" s="2"/>
      <c r="G824" s="2"/>
      <c r="H824" s="2"/>
    </row>
    <row r="825">
      <c r="C825" s="2"/>
      <c r="D825" s="2"/>
      <c r="G825" s="2"/>
      <c r="H825" s="2"/>
    </row>
    <row r="826">
      <c r="C826" s="2"/>
      <c r="D826" s="2"/>
      <c r="G826" s="2"/>
      <c r="H826" s="2"/>
    </row>
    <row r="827">
      <c r="C827" s="2"/>
      <c r="D827" s="2"/>
      <c r="G827" s="2"/>
      <c r="H827" s="2"/>
    </row>
    <row r="828">
      <c r="C828" s="2"/>
      <c r="D828" s="2"/>
      <c r="G828" s="2"/>
      <c r="H828" s="2"/>
    </row>
    <row r="829">
      <c r="C829" s="2"/>
      <c r="D829" s="2"/>
      <c r="G829" s="2"/>
      <c r="H829" s="2"/>
    </row>
    <row r="830">
      <c r="C830" s="2"/>
      <c r="D830" s="2"/>
      <c r="G830" s="2"/>
      <c r="H830" s="2"/>
    </row>
    <row r="831">
      <c r="C831" s="2"/>
      <c r="D831" s="2"/>
      <c r="G831" s="2"/>
      <c r="H831" s="2"/>
    </row>
    <row r="832">
      <c r="C832" s="2"/>
      <c r="D832" s="2"/>
      <c r="G832" s="2"/>
      <c r="H832" s="2"/>
    </row>
    <row r="833">
      <c r="C833" s="2"/>
      <c r="D833" s="2"/>
      <c r="G833" s="2"/>
      <c r="H833" s="2"/>
    </row>
    <row r="834">
      <c r="C834" s="2"/>
      <c r="D834" s="2"/>
      <c r="G834" s="2"/>
      <c r="H834" s="2"/>
    </row>
    <row r="835">
      <c r="C835" s="2"/>
      <c r="D835" s="2"/>
      <c r="G835" s="2"/>
      <c r="H835" s="2"/>
    </row>
    <row r="836">
      <c r="C836" s="2"/>
      <c r="D836" s="2"/>
      <c r="G836" s="2"/>
      <c r="H836" s="2"/>
    </row>
    <row r="837">
      <c r="C837" s="2"/>
      <c r="D837" s="2"/>
      <c r="G837" s="2"/>
      <c r="H837" s="2"/>
    </row>
    <row r="838">
      <c r="C838" s="2"/>
      <c r="D838" s="2"/>
      <c r="G838" s="2"/>
      <c r="H838" s="2"/>
    </row>
    <row r="839">
      <c r="C839" s="2"/>
      <c r="D839" s="2"/>
      <c r="G839" s="2"/>
      <c r="H839" s="2"/>
    </row>
    <row r="840">
      <c r="C840" s="2"/>
      <c r="D840" s="2"/>
      <c r="G840" s="2"/>
      <c r="H840" s="2"/>
    </row>
    <row r="841">
      <c r="C841" s="2"/>
      <c r="D841" s="2"/>
      <c r="G841" s="2"/>
      <c r="H841" s="2"/>
    </row>
    <row r="842">
      <c r="C842" s="2"/>
      <c r="D842" s="2"/>
      <c r="G842" s="2"/>
      <c r="H842" s="2"/>
    </row>
    <row r="843">
      <c r="C843" s="2"/>
      <c r="D843" s="2"/>
      <c r="G843" s="2"/>
      <c r="H843" s="2"/>
    </row>
    <row r="844">
      <c r="C844" s="2"/>
      <c r="D844" s="2"/>
      <c r="G844" s="2"/>
      <c r="H844" s="2"/>
    </row>
    <row r="845">
      <c r="C845" s="2"/>
      <c r="D845" s="2"/>
      <c r="G845" s="2"/>
      <c r="H845" s="2"/>
    </row>
    <row r="846">
      <c r="C846" s="2"/>
      <c r="D846" s="2"/>
      <c r="G846" s="2"/>
      <c r="H846" s="2"/>
    </row>
    <row r="847">
      <c r="C847" s="2"/>
      <c r="D847" s="2"/>
      <c r="G847" s="2"/>
      <c r="H847" s="2"/>
    </row>
    <row r="848">
      <c r="C848" s="2"/>
      <c r="D848" s="2"/>
      <c r="G848" s="2"/>
      <c r="H848" s="2"/>
    </row>
    <row r="849">
      <c r="C849" s="2"/>
      <c r="D849" s="2"/>
      <c r="G849" s="2"/>
      <c r="H849" s="2"/>
    </row>
    <row r="850">
      <c r="C850" s="2"/>
      <c r="D850" s="2"/>
      <c r="G850" s="2"/>
      <c r="H850" s="2"/>
    </row>
    <row r="851">
      <c r="C851" s="2"/>
      <c r="D851" s="2"/>
      <c r="G851" s="2"/>
      <c r="H851" s="2"/>
    </row>
    <row r="852">
      <c r="C852" s="2"/>
      <c r="D852" s="2"/>
      <c r="G852" s="2"/>
      <c r="H852" s="2"/>
    </row>
    <row r="853">
      <c r="C853" s="2"/>
      <c r="D853" s="2"/>
      <c r="G853" s="2"/>
      <c r="H853" s="2"/>
    </row>
    <row r="854">
      <c r="C854" s="2"/>
      <c r="D854" s="2"/>
      <c r="G854" s="2"/>
      <c r="H854" s="2"/>
    </row>
    <row r="855">
      <c r="C855" s="2"/>
      <c r="D855" s="2"/>
      <c r="G855" s="2"/>
      <c r="H855" s="2"/>
    </row>
    <row r="856">
      <c r="C856" s="2"/>
      <c r="D856" s="2"/>
      <c r="G856" s="2"/>
      <c r="H856" s="2"/>
    </row>
    <row r="857">
      <c r="C857" s="2"/>
      <c r="D857" s="2"/>
      <c r="G857" s="2"/>
      <c r="H857" s="2"/>
    </row>
    <row r="858">
      <c r="C858" s="2"/>
      <c r="D858" s="2"/>
      <c r="G858" s="2"/>
      <c r="H858" s="2"/>
    </row>
    <row r="859">
      <c r="C859" s="2"/>
      <c r="D859" s="2"/>
      <c r="G859" s="2"/>
      <c r="H859" s="2"/>
    </row>
    <row r="860">
      <c r="C860" s="2"/>
      <c r="D860" s="2"/>
      <c r="G860" s="2"/>
      <c r="H860" s="2"/>
    </row>
    <row r="861">
      <c r="C861" s="2"/>
      <c r="D861" s="2"/>
      <c r="G861" s="2"/>
      <c r="H861" s="2"/>
    </row>
    <row r="862">
      <c r="C862" s="2"/>
      <c r="D862" s="2"/>
      <c r="G862" s="2"/>
      <c r="H862" s="2"/>
    </row>
    <row r="863">
      <c r="C863" s="2"/>
      <c r="D863" s="2"/>
      <c r="G863" s="2"/>
      <c r="H863" s="2"/>
    </row>
    <row r="864">
      <c r="C864" s="2"/>
      <c r="D864" s="2"/>
      <c r="G864" s="2"/>
      <c r="H864" s="2"/>
    </row>
    <row r="865">
      <c r="C865" s="2"/>
      <c r="D865" s="2"/>
      <c r="G865" s="2"/>
      <c r="H865" s="2"/>
    </row>
    <row r="866">
      <c r="C866" s="2"/>
      <c r="D866" s="2"/>
      <c r="G866" s="2"/>
      <c r="H866" s="2"/>
    </row>
    <row r="867">
      <c r="C867" s="2"/>
      <c r="D867" s="2"/>
      <c r="G867" s="2"/>
      <c r="H867" s="2"/>
    </row>
    <row r="868">
      <c r="C868" s="2"/>
      <c r="D868" s="2"/>
      <c r="G868" s="2"/>
      <c r="H868" s="2"/>
    </row>
    <row r="869">
      <c r="C869" s="2"/>
      <c r="D869" s="2"/>
      <c r="G869" s="2"/>
      <c r="H869" s="2"/>
    </row>
    <row r="870">
      <c r="C870" s="2"/>
      <c r="D870" s="2"/>
      <c r="G870" s="2"/>
      <c r="H870" s="2"/>
    </row>
    <row r="871">
      <c r="C871" s="2"/>
      <c r="D871" s="2"/>
      <c r="G871" s="2"/>
      <c r="H871" s="2"/>
    </row>
    <row r="872">
      <c r="C872" s="2"/>
      <c r="D872" s="2"/>
      <c r="G872" s="2"/>
      <c r="H872" s="2"/>
    </row>
    <row r="873">
      <c r="C873" s="2"/>
      <c r="D873" s="2"/>
      <c r="G873" s="2"/>
      <c r="H873" s="2"/>
    </row>
    <row r="874">
      <c r="C874" s="2"/>
      <c r="D874" s="2"/>
      <c r="G874" s="2"/>
      <c r="H874" s="2"/>
    </row>
    <row r="875">
      <c r="C875" s="2"/>
      <c r="D875" s="2"/>
      <c r="G875" s="2"/>
      <c r="H875" s="2"/>
    </row>
    <row r="876">
      <c r="C876" s="2"/>
      <c r="D876" s="2"/>
      <c r="G876" s="2"/>
      <c r="H876" s="2"/>
    </row>
    <row r="877">
      <c r="C877" s="2"/>
      <c r="D877" s="2"/>
      <c r="G877" s="2"/>
      <c r="H877" s="2"/>
    </row>
    <row r="878">
      <c r="C878" s="2"/>
      <c r="D878" s="2"/>
      <c r="G878" s="2"/>
      <c r="H878" s="2"/>
    </row>
    <row r="879">
      <c r="C879" s="2"/>
      <c r="D879" s="2"/>
      <c r="G879" s="2"/>
      <c r="H879" s="2"/>
    </row>
    <row r="880">
      <c r="C880" s="2"/>
      <c r="D880" s="2"/>
      <c r="G880" s="2"/>
      <c r="H880" s="2"/>
    </row>
    <row r="881">
      <c r="C881" s="2"/>
      <c r="D881" s="2"/>
      <c r="G881" s="2"/>
      <c r="H881" s="2"/>
    </row>
    <row r="882">
      <c r="C882" s="2"/>
      <c r="D882" s="2"/>
      <c r="G882" s="2"/>
      <c r="H882" s="2"/>
    </row>
    <row r="883">
      <c r="C883" s="2"/>
      <c r="D883" s="2"/>
      <c r="G883" s="2"/>
      <c r="H883" s="2"/>
    </row>
    <row r="884">
      <c r="C884" s="2"/>
      <c r="D884" s="2"/>
      <c r="G884" s="2"/>
      <c r="H884" s="2"/>
    </row>
    <row r="885">
      <c r="C885" s="2"/>
      <c r="D885" s="2"/>
      <c r="G885" s="2"/>
      <c r="H885" s="2"/>
    </row>
    <row r="886">
      <c r="C886" s="2"/>
      <c r="D886" s="2"/>
      <c r="G886" s="2"/>
      <c r="H886" s="2"/>
    </row>
    <row r="887">
      <c r="C887" s="2"/>
      <c r="D887" s="2"/>
      <c r="G887" s="2"/>
      <c r="H887" s="2"/>
    </row>
    <row r="888">
      <c r="C888" s="2"/>
      <c r="D888" s="2"/>
      <c r="G888" s="2"/>
      <c r="H888" s="2"/>
    </row>
    <row r="889">
      <c r="C889" s="2"/>
      <c r="D889" s="2"/>
      <c r="G889" s="2"/>
      <c r="H889" s="2"/>
    </row>
    <row r="890">
      <c r="C890" s="2"/>
      <c r="D890" s="2"/>
      <c r="G890" s="2"/>
      <c r="H890" s="2"/>
    </row>
    <row r="891">
      <c r="C891" s="2"/>
      <c r="D891" s="2"/>
      <c r="G891" s="2"/>
      <c r="H891" s="2"/>
    </row>
    <row r="892">
      <c r="C892" s="2"/>
      <c r="D892" s="2"/>
      <c r="G892" s="2"/>
      <c r="H892" s="2"/>
    </row>
    <row r="893">
      <c r="C893" s="2"/>
      <c r="D893" s="2"/>
      <c r="G893" s="2"/>
      <c r="H893" s="2"/>
    </row>
    <row r="894">
      <c r="C894" s="2"/>
      <c r="D894" s="2"/>
      <c r="G894" s="2"/>
      <c r="H894" s="2"/>
    </row>
    <row r="895">
      <c r="C895" s="2"/>
      <c r="D895" s="2"/>
      <c r="G895" s="2"/>
      <c r="H895" s="2"/>
    </row>
    <row r="896">
      <c r="C896" s="2"/>
      <c r="D896" s="2"/>
      <c r="G896" s="2"/>
      <c r="H896" s="2"/>
    </row>
    <row r="897">
      <c r="C897" s="2"/>
      <c r="D897" s="2"/>
      <c r="G897" s="2"/>
      <c r="H897" s="2"/>
    </row>
    <row r="898">
      <c r="C898" s="2"/>
      <c r="D898" s="2"/>
      <c r="G898" s="2"/>
      <c r="H898" s="2"/>
    </row>
    <row r="899">
      <c r="C899" s="2"/>
      <c r="D899" s="2"/>
      <c r="G899" s="2"/>
      <c r="H899" s="2"/>
    </row>
    <row r="900">
      <c r="C900" s="2"/>
      <c r="D900" s="2"/>
      <c r="G900" s="2"/>
      <c r="H900" s="2"/>
    </row>
    <row r="901">
      <c r="C901" s="2"/>
      <c r="D901" s="2"/>
      <c r="G901" s="2"/>
      <c r="H901" s="2"/>
    </row>
    <row r="902">
      <c r="C902" s="2"/>
      <c r="D902" s="2"/>
      <c r="G902" s="2"/>
      <c r="H902" s="2"/>
    </row>
    <row r="903">
      <c r="C903" s="2"/>
      <c r="D903" s="2"/>
      <c r="G903" s="2"/>
      <c r="H903" s="2"/>
    </row>
    <row r="904">
      <c r="C904" s="2"/>
      <c r="D904" s="2"/>
      <c r="G904" s="2"/>
      <c r="H904" s="2"/>
    </row>
    <row r="905">
      <c r="C905" s="2"/>
      <c r="D905" s="2"/>
      <c r="G905" s="2"/>
      <c r="H905" s="2"/>
    </row>
    <row r="906">
      <c r="C906" s="2"/>
      <c r="D906" s="2"/>
      <c r="G906" s="2"/>
      <c r="H906" s="2"/>
    </row>
    <row r="907">
      <c r="C907" s="2"/>
      <c r="D907" s="2"/>
      <c r="G907" s="2"/>
      <c r="H907" s="2"/>
    </row>
    <row r="908">
      <c r="C908" s="2"/>
      <c r="D908" s="2"/>
      <c r="G908" s="2"/>
      <c r="H908" s="2"/>
    </row>
    <row r="909">
      <c r="C909" s="2"/>
      <c r="D909" s="2"/>
      <c r="G909" s="2"/>
      <c r="H909" s="2"/>
    </row>
    <row r="910">
      <c r="C910" s="2"/>
      <c r="D910" s="2"/>
      <c r="G910" s="2"/>
      <c r="H910" s="2"/>
    </row>
    <row r="911">
      <c r="C911" s="2"/>
      <c r="D911" s="2"/>
      <c r="G911" s="2"/>
      <c r="H911" s="2"/>
    </row>
    <row r="912">
      <c r="C912" s="2"/>
      <c r="D912" s="2"/>
      <c r="G912" s="2"/>
      <c r="H912" s="2"/>
    </row>
    <row r="913">
      <c r="C913" s="2"/>
      <c r="D913" s="2"/>
      <c r="G913" s="2"/>
      <c r="H913" s="2"/>
    </row>
    <row r="914">
      <c r="C914" s="2"/>
      <c r="D914" s="2"/>
      <c r="G914" s="2"/>
      <c r="H914" s="2"/>
    </row>
    <row r="915">
      <c r="C915" s="2"/>
      <c r="D915" s="2"/>
      <c r="G915" s="2"/>
      <c r="H915" s="2"/>
    </row>
    <row r="916">
      <c r="C916" s="2"/>
      <c r="D916" s="2"/>
      <c r="G916" s="2"/>
      <c r="H916" s="2"/>
    </row>
    <row r="917">
      <c r="C917" s="2"/>
      <c r="D917" s="2"/>
      <c r="G917" s="2"/>
      <c r="H917" s="2"/>
    </row>
    <row r="918">
      <c r="C918" s="2"/>
      <c r="D918" s="2"/>
      <c r="G918" s="2"/>
      <c r="H918" s="2"/>
    </row>
    <row r="919">
      <c r="C919" s="2"/>
      <c r="D919" s="2"/>
      <c r="G919" s="2"/>
      <c r="H919" s="2"/>
    </row>
    <row r="920">
      <c r="C920" s="2"/>
      <c r="D920" s="2"/>
      <c r="G920" s="2"/>
      <c r="H920" s="2"/>
    </row>
    <row r="921">
      <c r="C921" s="2"/>
      <c r="D921" s="2"/>
      <c r="G921" s="2"/>
      <c r="H921" s="2"/>
    </row>
    <row r="922">
      <c r="C922" s="2"/>
      <c r="D922" s="2"/>
      <c r="G922" s="2"/>
      <c r="H922" s="2"/>
    </row>
    <row r="923">
      <c r="C923" s="2"/>
      <c r="D923" s="2"/>
      <c r="G923" s="2"/>
      <c r="H923" s="2"/>
    </row>
    <row r="924">
      <c r="C924" s="2"/>
      <c r="D924" s="2"/>
      <c r="G924" s="2"/>
      <c r="H924" s="2"/>
    </row>
    <row r="925">
      <c r="C925" s="2"/>
      <c r="D925" s="2"/>
      <c r="G925" s="2"/>
      <c r="H925" s="2"/>
    </row>
    <row r="926">
      <c r="C926" s="2"/>
      <c r="D926" s="2"/>
      <c r="G926" s="2"/>
      <c r="H926" s="2"/>
    </row>
    <row r="927">
      <c r="C927" s="2"/>
      <c r="D927" s="2"/>
      <c r="G927" s="2"/>
      <c r="H927" s="2"/>
    </row>
    <row r="928">
      <c r="C928" s="2"/>
      <c r="D928" s="2"/>
      <c r="G928" s="2"/>
      <c r="H928" s="2"/>
    </row>
    <row r="929">
      <c r="C929" s="2"/>
      <c r="D929" s="2"/>
      <c r="G929" s="2"/>
      <c r="H929" s="2"/>
    </row>
    <row r="930">
      <c r="C930" s="2"/>
      <c r="D930" s="2"/>
      <c r="G930" s="2"/>
      <c r="H930" s="2"/>
    </row>
    <row r="931">
      <c r="C931" s="2"/>
      <c r="D931" s="2"/>
      <c r="G931" s="2"/>
      <c r="H931" s="2"/>
    </row>
    <row r="932">
      <c r="C932" s="2"/>
      <c r="D932" s="2"/>
      <c r="G932" s="2"/>
      <c r="H932" s="2"/>
    </row>
    <row r="933">
      <c r="C933" s="2"/>
      <c r="D933" s="2"/>
      <c r="G933" s="2"/>
      <c r="H933" s="2"/>
    </row>
    <row r="934">
      <c r="C934" s="2"/>
      <c r="D934" s="2"/>
      <c r="G934" s="2"/>
      <c r="H934" s="2"/>
    </row>
    <row r="935">
      <c r="C935" s="2"/>
      <c r="D935" s="2"/>
      <c r="G935" s="2"/>
      <c r="H935" s="2"/>
    </row>
    <row r="936">
      <c r="C936" s="2"/>
      <c r="D936" s="2"/>
      <c r="G936" s="2"/>
      <c r="H936" s="2"/>
    </row>
    <row r="937">
      <c r="C937" s="2"/>
      <c r="D937" s="2"/>
      <c r="G937" s="2"/>
      <c r="H937" s="2"/>
    </row>
    <row r="938">
      <c r="C938" s="2"/>
      <c r="D938" s="2"/>
      <c r="G938" s="2"/>
      <c r="H938" s="2"/>
    </row>
    <row r="939">
      <c r="C939" s="2"/>
      <c r="D939" s="2"/>
      <c r="G939" s="2"/>
      <c r="H939" s="2"/>
    </row>
    <row r="940">
      <c r="C940" s="2"/>
      <c r="D940" s="2"/>
      <c r="G940" s="2"/>
      <c r="H940" s="2"/>
    </row>
    <row r="941">
      <c r="C941" s="2"/>
      <c r="D941" s="2"/>
      <c r="G941" s="2"/>
      <c r="H941" s="2"/>
    </row>
    <row r="942">
      <c r="C942" s="2"/>
      <c r="D942" s="2"/>
      <c r="G942" s="2"/>
      <c r="H942" s="2"/>
    </row>
    <row r="943">
      <c r="C943" s="2"/>
      <c r="D943" s="2"/>
      <c r="G943" s="2"/>
      <c r="H943" s="2"/>
    </row>
    <row r="944">
      <c r="C944" s="2"/>
      <c r="D944" s="2"/>
      <c r="G944" s="2"/>
      <c r="H944" s="2"/>
    </row>
    <row r="945">
      <c r="C945" s="2"/>
      <c r="D945" s="2"/>
      <c r="G945" s="2"/>
      <c r="H945" s="2"/>
    </row>
    <row r="946">
      <c r="C946" s="2"/>
      <c r="D946" s="2"/>
      <c r="G946" s="2"/>
      <c r="H946" s="2"/>
    </row>
    <row r="947">
      <c r="C947" s="2"/>
      <c r="D947" s="2"/>
      <c r="G947" s="2"/>
      <c r="H947" s="2"/>
    </row>
    <row r="948">
      <c r="C948" s="2"/>
      <c r="D948" s="2"/>
      <c r="G948" s="2"/>
      <c r="H948" s="2"/>
    </row>
    <row r="949">
      <c r="C949" s="2"/>
      <c r="D949" s="2"/>
      <c r="G949" s="2"/>
      <c r="H949" s="2"/>
    </row>
    <row r="950">
      <c r="C950" s="2"/>
      <c r="D950" s="2"/>
      <c r="G950" s="2"/>
      <c r="H950" s="2"/>
    </row>
    <row r="951">
      <c r="C951" s="2"/>
      <c r="D951" s="2"/>
      <c r="G951" s="2"/>
      <c r="H951" s="2"/>
    </row>
    <row r="952">
      <c r="C952" s="2"/>
      <c r="D952" s="2"/>
      <c r="G952" s="2"/>
      <c r="H952" s="2"/>
    </row>
    <row r="953">
      <c r="C953" s="2"/>
      <c r="D953" s="2"/>
      <c r="G953" s="2"/>
      <c r="H953" s="2"/>
    </row>
    <row r="954">
      <c r="C954" s="2"/>
      <c r="D954" s="2"/>
      <c r="G954" s="2"/>
      <c r="H954" s="2"/>
    </row>
    <row r="955">
      <c r="C955" s="2"/>
      <c r="D955" s="2"/>
      <c r="G955" s="2"/>
      <c r="H955" s="2"/>
    </row>
    <row r="956">
      <c r="C956" s="2"/>
      <c r="D956" s="2"/>
      <c r="G956" s="2"/>
      <c r="H956" s="2"/>
    </row>
    <row r="957">
      <c r="C957" s="2"/>
      <c r="D957" s="2"/>
      <c r="G957" s="2"/>
      <c r="H957" s="2"/>
    </row>
    <row r="958">
      <c r="C958" s="2"/>
      <c r="D958" s="2"/>
      <c r="G958" s="2"/>
      <c r="H958" s="2"/>
    </row>
    <row r="959">
      <c r="C959" s="2"/>
      <c r="D959" s="2"/>
      <c r="G959" s="2"/>
      <c r="H959" s="2"/>
    </row>
    <row r="960">
      <c r="C960" s="2"/>
      <c r="D960" s="2"/>
      <c r="G960" s="2"/>
      <c r="H960" s="2"/>
    </row>
    <row r="961">
      <c r="C961" s="2"/>
      <c r="D961" s="2"/>
      <c r="G961" s="2"/>
      <c r="H961" s="2"/>
    </row>
    <row r="962">
      <c r="C962" s="2"/>
      <c r="D962" s="2"/>
      <c r="G962" s="2"/>
      <c r="H962" s="2"/>
    </row>
    <row r="963">
      <c r="C963" s="2"/>
      <c r="D963" s="2"/>
      <c r="G963" s="2"/>
      <c r="H963" s="2"/>
    </row>
    <row r="964">
      <c r="C964" s="2"/>
      <c r="D964" s="2"/>
      <c r="G964" s="2"/>
      <c r="H964" s="2"/>
    </row>
    <row r="965">
      <c r="C965" s="2"/>
      <c r="D965" s="2"/>
      <c r="G965" s="2"/>
      <c r="H965" s="2"/>
    </row>
    <row r="966">
      <c r="C966" s="2"/>
      <c r="D966" s="2"/>
      <c r="G966" s="2"/>
      <c r="H966" s="2"/>
    </row>
    <row r="967">
      <c r="C967" s="2"/>
      <c r="D967" s="2"/>
      <c r="G967" s="2"/>
      <c r="H967" s="2"/>
    </row>
    <row r="968">
      <c r="C968" s="2"/>
      <c r="D968" s="2"/>
      <c r="G968" s="2"/>
      <c r="H968" s="2"/>
    </row>
    <row r="969">
      <c r="C969" s="2"/>
      <c r="D969" s="2"/>
      <c r="G969" s="2"/>
      <c r="H969" s="2"/>
    </row>
    <row r="970">
      <c r="C970" s="2"/>
      <c r="D970" s="2"/>
      <c r="G970" s="2"/>
      <c r="H970" s="2"/>
    </row>
    <row r="971">
      <c r="C971" s="2"/>
      <c r="D971" s="2"/>
      <c r="G971" s="2"/>
      <c r="H971" s="2"/>
    </row>
    <row r="972">
      <c r="C972" s="2"/>
      <c r="D972" s="2"/>
      <c r="G972" s="2"/>
      <c r="H972" s="2"/>
    </row>
    <row r="973">
      <c r="C973" s="2"/>
      <c r="D973" s="2"/>
      <c r="G973" s="2"/>
      <c r="H973" s="2"/>
    </row>
    <row r="974">
      <c r="C974" s="2"/>
      <c r="D974" s="2"/>
      <c r="G974" s="2"/>
      <c r="H974" s="2"/>
    </row>
    <row r="975">
      <c r="C975" s="2"/>
      <c r="D975" s="2"/>
      <c r="G975" s="2"/>
      <c r="H975" s="2"/>
    </row>
    <row r="976">
      <c r="C976" s="2"/>
      <c r="D976" s="2"/>
      <c r="G976" s="2"/>
      <c r="H976" s="2"/>
    </row>
    <row r="977">
      <c r="C977" s="2"/>
      <c r="D977" s="2"/>
      <c r="G977" s="2"/>
      <c r="H977" s="2"/>
    </row>
    <row r="978">
      <c r="C978" s="2"/>
      <c r="D978" s="2"/>
      <c r="G978" s="2"/>
      <c r="H978" s="2"/>
    </row>
    <row r="979">
      <c r="C979" s="2"/>
      <c r="D979" s="2"/>
      <c r="G979" s="2"/>
      <c r="H979" s="2"/>
    </row>
    <row r="980">
      <c r="C980" s="2"/>
      <c r="D980" s="2"/>
      <c r="G980" s="2"/>
      <c r="H980" s="2"/>
    </row>
    <row r="981">
      <c r="C981" s="2"/>
      <c r="D981" s="2"/>
      <c r="G981" s="2"/>
      <c r="H981" s="2"/>
    </row>
    <row r="982">
      <c r="C982" s="2"/>
      <c r="D982" s="2"/>
      <c r="G982" s="2"/>
      <c r="H982" s="2"/>
    </row>
    <row r="983">
      <c r="C983" s="2"/>
      <c r="D983" s="2"/>
      <c r="G983" s="2"/>
      <c r="H983" s="2"/>
    </row>
    <row r="984">
      <c r="C984" s="2"/>
      <c r="D984" s="2"/>
      <c r="G984" s="2"/>
      <c r="H984" s="2"/>
    </row>
    <row r="985">
      <c r="C985" s="2"/>
      <c r="D985" s="2"/>
      <c r="G985" s="2"/>
      <c r="H985" s="2"/>
    </row>
    <row r="986">
      <c r="C986" s="2"/>
      <c r="D986" s="2"/>
      <c r="G986" s="2"/>
      <c r="H986" s="2"/>
    </row>
    <row r="987">
      <c r="C987" s="2"/>
      <c r="D987" s="2"/>
      <c r="G987" s="2"/>
      <c r="H987" s="2"/>
    </row>
    <row r="988">
      <c r="C988" s="2"/>
      <c r="D988" s="2"/>
      <c r="G988" s="2"/>
      <c r="H988" s="2"/>
    </row>
    <row r="989">
      <c r="C989" s="2"/>
      <c r="D989" s="2"/>
      <c r="G989" s="2"/>
      <c r="H989" s="2"/>
    </row>
    <row r="990">
      <c r="C990" s="2"/>
      <c r="D990" s="2"/>
      <c r="G990" s="2"/>
      <c r="H990" s="2"/>
    </row>
    <row r="991">
      <c r="C991" s="2"/>
      <c r="D991" s="2"/>
      <c r="G991" s="2"/>
      <c r="H991" s="2"/>
    </row>
    <row r="992">
      <c r="C992" s="2"/>
      <c r="D992" s="2"/>
      <c r="G992" s="2"/>
      <c r="H992" s="2"/>
    </row>
    <row r="993">
      <c r="C993" s="2"/>
      <c r="D993" s="2"/>
      <c r="G993" s="2"/>
      <c r="H993" s="2"/>
    </row>
    <row r="994">
      <c r="C994" s="2"/>
      <c r="D994" s="2"/>
      <c r="G994" s="2"/>
      <c r="H994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7">
        <v>45992.0</v>
      </c>
      <c r="B1" s="29"/>
      <c r="C1" s="29"/>
      <c r="D1" s="29"/>
      <c r="E1" s="29"/>
      <c r="F1" s="29"/>
      <c r="G1" s="29"/>
      <c r="H1" s="29"/>
      <c r="I1" s="29"/>
      <c r="J1" s="29"/>
      <c r="K1" s="74"/>
      <c r="L1" s="74"/>
    </row>
    <row r="2">
      <c r="A2" s="30" t="s">
        <v>14</v>
      </c>
      <c r="B2" s="30" t="s">
        <v>29</v>
      </c>
      <c r="C2" s="30" t="s">
        <v>30</v>
      </c>
      <c r="D2" s="30" t="s">
        <v>17</v>
      </c>
      <c r="E2" s="30" t="s">
        <v>31</v>
      </c>
      <c r="F2" s="30" t="s">
        <v>19</v>
      </c>
      <c r="G2" s="30" t="s">
        <v>20</v>
      </c>
      <c r="H2" s="30" t="s">
        <v>21</v>
      </c>
      <c r="I2" s="30" t="s">
        <v>22</v>
      </c>
      <c r="J2" s="30" t="s">
        <v>23</v>
      </c>
      <c r="K2" s="44" t="s">
        <v>24</v>
      </c>
      <c r="L2" s="44" t="s">
        <v>25</v>
      </c>
      <c r="M2" s="75" t="s">
        <v>53</v>
      </c>
      <c r="O2" s="17">
        <f>sum(C2:M2)</f>
        <v>0</v>
      </c>
    </row>
    <row r="3">
      <c r="A3" s="32" t="s">
        <v>26</v>
      </c>
      <c r="B3" s="33">
        <v>45.0</v>
      </c>
      <c r="C3" s="33">
        <v>14.2</v>
      </c>
      <c r="D3" s="33">
        <v>15.0</v>
      </c>
      <c r="E3" s="33">
        <v>10.0</v>
      </c>
      <c r="F3" s="33">
        <v>14.0</v>
      </c>
      <c r="G3" s="16">
        <v>13.6</v>
      </c>
      <c r="H3" s="16">
        <v>12.0</v>
      </c>
      <c r="I3" s="33">
        <v>14.0</v>
      </c>
      <c r="J3" s="33">
        <v>6.0</v>
      </c>
      <c r="K3" s="16">
        <v>0.0</v>
      </c>
      <c r="L3" s="73">
        <v>40.0</v>
      </c>
      <c r="M3" s="73">
        <v>60.0</v>
      </c>
      <c r="O3" s="17">
        <f t="shared" ref="O3:O7" si="1">sum(B3:M3)</f>
        <v>243.8</v>
      </c>
    </row>
    <row r="4">
      <c r="A4" s="32" t="s">
        <v>27</v>
      </c>
      <c r="B4" s="33">
        <v>110.0</v>
      </c>
      <c r="C4" s="33">
        <v>21.4</v>
      </c>
      <c r="D4" s="33">
        <v>0.0</v>
      </c>
      <c r="E4" s="33">
        <v>11.0</v>
      </c>
      <c r="F4" s="33">
        <v>18.0</v>
      </c>
      <c r="G4" s="33">
        <v>20.0</v>
      </c>
      <c r="H4" s="33">
        <v>4.0</v>
      </c>
      <c r="I4" s="33">
        <v>31.0</v>
      </c>
      <c r="J4" s="33">
        <v>11.0</v>
      </c>
      <c r="K4" s="16">
        <v>0.0</v>
      </c>
      <c r="L4" s="73">
        <v>0.0</v>
      </c>
      <c r="M4" s="73">
        <v>0.0</v>
      </c>
      <c r="O4" s="76">
        <f t="shared" si="1"/>
        <v>226.4</v>
      </c>
    </row>
    <row r="5">
      <c r="A5" s="34" t="s">
        <v>28</v>
      </c>
      <c r="B5" s="46">
        <f t="shared" ref="B5:M5" si="2">SUM(B3:B4)</f>
        <v>155</v>
      </c>
      <c r="C5" s="46">
        <f t="shared" si="2"/>
        <v>35.6</v>
      </c>
      <c r="D5" s="46">
        <f t="shared" si="2"/>
        <v>15</v>
      </c>
      <c r="E5" s="46">
        <f t="shared" si="2"/>
        <v>21</v>
      </c>
      <c r="F5" s="46">
        <f t="shared" si="2"/>
        <v>32</v>
      </c>
      <c r="G5" s="18">
        <f t="shared" si="2"/>
        <v>33.6</v>
      </c>
      <c r="H5" s="18">
        <f t="shared" si="2"/>
        <v>16</v>
      </c>
      <c r="I5" s="46">
        <f t="shared" si="2"/>
        <v>45</v>
      </c>
      <c r="J5" s="46">
        <f t="shared" si="2"/>
        <v>17</v>
      </c>
      <c r="K5" s="47">
        <f t="shared" si="2"/>
        <v>0</v>
      </c>
      <c r="L5" s="47">
        <f t="shared" si="2"/>
        <v>40</v>
      </c>
      <c r="M5" s="47">
        <f t="shared" si="2"/>
        <v>60</v>
      </c>
      <c r="O5" s="20">
        <f t="shared" si="1"/>
        <v>470.2</v>
      </c>
    </row>
    <row r="6">
      <c r="C6" s="2"/>
      <c r="D6" s="2"/>
      <c r="O6" s="17">
        <f t="shared" si="1"/>
        <v>0</v>
      </c>
    </row>
    <row r="7">
      <c r="A7" s="89">
        <v>45993.0</v>
      </c>
      <c r="B7" s="29"/>
      <c r="C7" s="29"/>
      <c r="D7" s="29"/>
      <c r="E7" s="29"/>
      <c r="F7" s="29"/>
      <c r="G7" s="29"/>
      <c r="H7" s="29"/>
      <c r="I7" s="29"/>
      <c r="J7" s="29"/>
      <c r="K7" s="74"/>
      <c r="L7" s="74"/>
      <c r="O7" s="17">
        <f t="shared" si="1"/>
        <v>0</v>
      </c>
    </row>
    <row r="8">
      <c r="A8" s="30" t="s">
        <v>14</v>
      </c>
      <c r="B8" s="30" t="s">
        <v>29</v>
      </c>
      <c r="C8" s="30" t="s">
        <v>30</v>
      </c>
      <c r="D8" s="30" t="s">
        <v>17</v>
      </c>
      <c r="E8" s="30" t="s">
        <v>31</v>
      </c>
      <c r="F8" s="30" t="s">
        <v>19</v>
      </c>
      <c r="G8" s="30" t="s">
        <v>20</v>
      </c>
      <c r="H8" s="30" t="s">
        <v>21</v>
      </c>
      <c r="I8" s="30" t="s">
        <v>22</v>
      </c>
      <c r="J8" s="30" t="s">
        <v>23</v>
      </c>
      <c r="K8" s="43" t="s">
        <v>24</v>
      </c>
      <c r="L8" s="44" t="s">
        <v>25</v>
      </c>
      <c r="M8" s="75" t="s">
        <v>53</v>
      </c>
      <c r="O8" s="17">
        <f>sum(C8:M8)</f>
        <v>0</v>
      </c>
    </row>
    <row r="9">
      <c r="A9" s="31" t="s">
        <v>26</v>
      </c>
      <c r="B9" s="33">
        <v>52.0</v>
      </c>
      <c r="C9" s="33">
        <v>10.0</v>
      </c>
      <c r="D9" s="33">
        <v>12.0</v>
      </c>
      <c r="E9" s="33">
        <v>13.0</v>
      </c>
      <c r="F9" s="33">
        <v>6.0</v>
      </c>
      <c r="G9" s="33">
        <v>20.0</v>
      </c>
      <c r="H9" s="33">
        <v>15.0</v>
      </c>
      <c r="I9" s="33">
        <v>4.0</v>
      </c>
      <c r="J9" s="33">
        <v>7.0</v>
      </c>
      <c r="K9" s="16">
        <v>0.0</v>
      </c>
      <c r="L9" s="73">
        <v>30.0</v>
      </c>
      <c r="M9" s="73">
        <v>42.0</v>
      </c>
      <c r="O9" s="17">
        <f t="shared" ref="O9:O13" si="3">sum(B9:M9)</f>
        <v>211</v>
      </c>
    </row>
    <row r="10">
      <c r="A10" s="31" t="s">
        <v>27</v>
      </c>
      <c r="B10" s="33">
        <v>82.0</v>
      </c>
      <c r="C10" s="33">
        <v>5.31</v>
      </c>
      <c r="D10" s="33">
        <v>0.0</v>
      </c>
      <c r="E10" s="33">
        <v>22.0</v>
      </c>
      <c r="F10" s="33">
        <v>21.0</v>
      </c>
      <c r="G10" s="33">
        <v>25.0</v>
      </c>
      <c r="H10" s="33">
        <v>10.0</v>
      </c>
      <c r="I10" s="33">
        <v>14.0</v>
      </c>
      <c r="J10" s="33">
        <v>11.0</v>
      </c>
      <c r="K10" s="16">
        <v>0.0</v>
      </c>
      <c r="L10" s="73">
        <v>0.0</v>
      </c>
      <c r="M10" s="73">
        <v>0.0</v>
      </c>
      <c r="O10" s="76">
        <f t="shared" si="3"/>
        <v>190.31</v>
      </c>
    </row>
    <row r="11">
      <c r="A11" s="34" t="s">
        <v>28</v>
      </c>
      <c r="B11" s="46">
        <f t="shared" ref="B11:M11" si="4">SUM(B9:B10)</f>
        <v>134</v>
      </c>
      <c r="C11" s="46">
        <f t="shared" si="4"/>
        <v>15.31</v>
      </c>
      <c r="D11" s="46">
        <f t="shared" si="4"/>
        <v>12</v>
      </c>
      <c r="E11" s="46">
        <f t="shared" si="4"/>
        <v>35</v>
      </c>
      <c r="F11" s="46">
        <f t="shared" si="4"/>
        <v>27</v>
      </c>
      <c r="G11" s="18">
        <f t="shared" si="4"/>
        <v>45</v>
      </c>
      <c r="H11" s="18">
        <f t="shared" si="4"/>
        <v>25</v>
      </c>
      <c r="I11" s="46">
        <f t="shared" si="4"/>
        <v>18</v>
      </c>
      <c r="J11" s="46">
        <f t="shared" si="4"/>
        <v>18</v>
      </c>
      <c r="K11" s="47">
        <f t="shared" si="4"/>
        <v>0</v>
      </c>
      <c r="L11" s="47">
        <f t="shared" si="4"/>
        <v>30</v>
      </c>
      <c r="M11" s="47">
        <f t="shared" si="4"/>
        <v>42</v>
      </c>
      <c r="O11" s="20">
        <f t="shared" si="3"/>
        <v>401.31</v>
      </c>
    </row>
    <row r="12">
      <c r="O12" s="17">
        <f t="shared" si="3"/>
        <v>0</v>
      </c>
    </row>
    <row r="13">
      <c r="A13" s="89">
        <v>45994.0</v>
      </c>
      <c r="B13" s="29"/>
      <c r="C13" s="29"/>
      <c r="D13" s="29"/>
      <c r="E13" s="29"/>
      <c r="F13" s="29"/>
      <c r="G13" s="12"/>
      <c r="H13" s="12"/>
      <c r="I13" s="29"/>
      <c r="J13" s="29"/>
      <c r="K13" s="74"/>
      <c r="L13" s="74"/>
      <c r="O13" s="17">
        <f t="shared" si="3"/>
        <v>0</v>
      </c>
    </row>
    <row r="14">
      <c r="A14" s="30" t="s">
        <v>14</v>
      </c>
      <c r="B14" s="30" t="s">
        <v>29</v>
      </c>
      <c r="C14" s="30" t="s">
        <v>30</v>
      </c>
      <c r="D14" s="30" t="s">
        <v>17</v>
      </c>
      <c r="E14" s="30" t="s">
        <v>31</v>
      </c>
      <c r="F14" s="30" t="s">
        <v>19</v>
      </c>
      <c r="G14" s="30" t="s">
        <v>20</v>
      </c>
      <c r="H14" s="30" t="s">
        <v>21</v>
      </c>
      <c r="I14" s="30" t="s">
        <v>22</v>
      </c>
      <c r="J14" s="30" t="s">
        <v>23</v>
      </c>
      <c r="K14" s="43" t="s">
        <v>24</v>
      </c>
      <c r="L14" s="44" t="s">
        <v>25</v>
      </c>
      <c r="M14" s="75" t="s">
        <v>53</v>
      </c>
      <c r="O14" s="17">
        <f>sum(C14:M14)</f>
        <v>0</v>
      </c>
    </row>
    <row r="15">
      <c r="A15" s="31" t="s">
        <v>26</v>
      </c>
      <c r="B15" s="33">
        <v>36.0</v>
      </c>
      <c r="C15" s="33">
        <v>24.0</v>
      </c>
      <c r="D15" s="33">
        <v>10.0</v>
      </c>
      <c r="E15" s="33">
        <v>12.0</v>
      </c>
      <c r="F15" s="33">
        <v>5.0</v>
      </c>
      <c r="G15" s="16">
        <v>13.6</v>
      </c>
      <c r="H15" s="16">
        <v>12.0</v>
      </c>
      <c r="I15" s="33">
        <v>7.0</v>
      </c>
      <c r="J15" s="33">
        <v>11.0</v>
      </c>
      <c r="K15" s="16">
        <v>0.0</v>
      </c>
      <c r="L15" s="73">
        <v>35.0</v>
      </c>
      <c r="M15" s="73">
        <v>44.0</v>
      </c>
      <c r="O15" s="17">
        <f t="shared" ref="O15:O19" si="5">sum(B15:M15)</f>
        <v>209.6</v>
      </c>
    </row>
    <row r="16">
      <c r="A16" s="31" t="s">
        <v>27</v>
      </c>
      <c r="B16" s="33">
        <v>90.0</v>
      </c>
      <c r="C16" s="33">
        <v>16.1</v>
      </c>
      <c r="D16" s="33">
        <v>0.0</v>
      </c>
      <c r="E16" s="33">
        <v>28.0</v>
      </c>
      <c r="F16" s="33">
        <v>23.0</v>
      </c>
      <c r="G16" s="33">
        <v>20.0</v>
      </c>
      <c r="H16" s="33">
        <v>5.0</v>
      </c>
      <c r="I16" s="33">
        <v>21.0</v>
      </c>
      <c r="J16" s="33">
        <v>11.0</v>
      </c>
      <c r="K16" s="16">
        <v>0.0</v>
      </c>
      <c r="L16" s="73">
        <v>0.0</v>
      </c>
      <c r="M16" s="73">
        <v>0.0</v>
      </c>
      <c r="O16" s="76">
        <f t="shared" si="5"/>
        <v>214.1</v>
      </c>
    </row>
    <row r="17">
      <c r="A17" s="34" t="s">
        <v>28</v>
      </c>
      <c r="B17" s="46">
        <f t="shared" ref="B17:M17" si="6">SUM(B15:B16)</f>
        <v>126</v>
      </c>
      <c r="C17" s="46">
        <f t="shared" si="6"/>
        <v>40.1</v>
      </c>
      <c r="D17" s="46">
        <f t="shared" si="6"/>
        <v>10</v>
      </c>
      <c r="E17" s="46">
        <f t="shared" si="6"/>
        <v>40</v>
      </c>
      <c r="F17" s="46">
        <f t="shared" si="6"/>
        <v>28</v>
      </c>
      <c r="G17" s="18">
        <f t="shared" si="6"/>
        <v>33.6</v>
      </c>
      <c r="H17" s="18">
        <f t="shared" si="6"/>
        <v>17</v>
      </c>
      <c r="I17" s="46">
        <f t="shared" si="6"/>
        <v>28</v>
      </c>
      <c r="J17" s="46">
        <f t="shared" si="6"/>
        <v>22</v>
      </c>
      <c r="K17" s="47">
        <f t="shared" si="6"/>
        <v>0</v>
      </c>
      <c r="L17" s="47">
        <f t="shared" si="6"/>
        <v>35</v>
      </c>
      <c r="M17" s="47">
        <f t="shared" si="6"/>
        <v>44</v>
      </c>
      <c r="O17" s="20">
        <f t="shared" si="5"/>
        <v>423.7</v>
      </c>
    </row>
    <row r="18">
      <c r="O18" s="17">
        <f t="shared" si="5"/>
        <v>0</v>
      </c>
    </row>
    <row r="19">
      <c r="A19" s="89">
        <v>45995.0</v>
      </c>
      <c r="B19" s="29"/>
      <c r="C19" s="29"/>
      <c r="D19" s="29"/>
      <c r="E19" s="29"/>
      <c r="F19" s="29"/>
      <c r="G19" s="29"/>
      <c r="H19" s="29"/>
      <c r="I19" s="29"/>
      <c r="J19" s="29"/>
      <c r="K19" s="74"/>
      <c r="L19" s="74"/>
      <c r="O19" s="17">
        <f t="shared" si="5"/>
        <v>0</v>
      </c>
    </row>
    <row r="20">
      <c r="A20" s="30" t="s">
        <v>14</v>
      </c>
      <c r="B20" s="30" t="s">
        <v>29</v>
      </c>
      <c r="C20" s="30" t="s">
        <v>30</v>
      </c>
      <c r="D20" s="30" t="s">
        <v>17</v>
      </c>
      <c r="E20" s="30" t="s">
        <v>31</v>
      </c>
      <c r="F20" s="30" t="s">
        <v>19</v>
      </c>
      <c r="G20" s="30" t="s">
        <v>20</v>
      </c>
      <c r="H20" s="30" t="s">
        <v>21</v>
      </c>
      <c r="I20" s="30" t="s">
        <v>22</v>
      </c>
      <c r="J20" s="30" t="s">
        <v>23</v>
      </c>
      <c r="K20" s="43" t="s">
        <v>24</v>
      </c>
      <c r="L20" s="44" t="s">
        <v>25</v>
      </c>
      <c r="M20" s="75" t="s">
        <v>53</v>
      </c>
      <c r="O20" s="17">
        <f>sum(C20:M20)</f>
        <v>0</v>
      </c>
    </row>
    <row r="21">
      <c r="A21" s="31" t="s">
        <v>26</v>
      </c>
      <c r="B21" s="33">
        <v>47.0</v>
      </c>
      <c r="C21" s="33">
        <v>29.0</v>
      </c>
      <c r="D21" s="33">
        <v>12.0</v>
      </c>
      <c r="E21" s="33">
        <v>10.0</v>
      </c>
      <c r="F21" s="33">
        <v>8.0</v>
      </c>
      <c r="G21" s="33">
        <v>20.0</v>
      </c>
      <c r="H21" s="33">
        <v>15.0</v>
      </c>
      <c r="I21" s="33">
        <v>12.0</v>
      </c>
      <c r="J21" s="33">
        <v>9.0</v>
      </c>
      <c r="K21" s="16">
        <v>0.0</v>
      </c>
      <c r="L21" s="73">
        <v>45.0</v>
      </c>
      <c r="M21" s="73">
        <v>52.0</v>
      </c>
      <c r="O21" s="17">
        <f t="shared" ref="O21:O25" si="7">sum(B21:M21)</f>
        <v>259</v>
      </c>
    </row>
    <row r="22">
      <c r="A22" s="31" t="s">
        <v>27</v>
      </c>
      <c r="B22" s="33">
        <v>93.0</v>
      </c>
      <c r="C22" s="33">
        <v>19.2</v>
      </c>
      <c r="D22" s="33">
        <v>40.0</v>
      </c>
      <c r="E22" s="33">
        <v>38.0</v>
      </c>
      <c r="F22" s="33">
        <v>22.0</v>
      </c>
      <c r="G22" s="33">
        <v>25.0</v>
      </c>
      <c r="H22" s="33">
        <v>10.0</v>
      </c>
      <c r="I22" s="33">
        <v>19.0</v>
      </c>
      <c r="J22" s="33">
        <v>12.0</v>
      </c>
      <c r="K22" s="16">
        <v>0.0</v>
      </c>
      <c r="L22" s="73">
        <v>0.0</v>
      </c>
      <c r="M22" s="73">
        <v>0.0</v>
      </c>
      <c r="O22" s="76">
        <f t="shared" si="7"/>
        <v>278.2</v>
      </c>
    </row>
    <row r="23">
      <c r="A23" s="34" t="s">
        <v>28</v>
      </c>
      <c r="B23" s="46">
        <f t="shared" ref="B23:M23" si="8">SUM(B21:B22)</f>
        <v>140</v>
      </c>
      <c r="C23" s="46">
        <f t="shared" si="8"/>
        <v>48.2</v>
      </c>
      <c r="D23" s="46">
        <f t="shared" si="8"/>
        <v>52</v>
      </c>
      <c r="E23" s="46">
        <f t="shared" si="8"/>
        <v>48</v>
      </c>
      <c r="F23" s="46">
        <f t="shared" si="8"/>
        <v>30</v>
      </c>
      <c r="G23" s="18">
        <f t="shared" si="8"/>
        <v>45</v>
      </c>
      <c r="H23" s="18">
        <f t="shared" si="8"/>
        <v>25</v>
      </c>
      <c r="I23" s="46">
        <f t="shared" si="8"/>
        <v>31</v>
      </c>
      <c r="J23" s="46">
        <f t="shared" si="8"/>
        <v>21</v>
      </c>
      <c r="K23" s="47">
        <f t="shared" si="8"/>
        <v>0</v>
      </c>
      <c r="L23" s="47">
        <f t="shared" si="8"/>
        <v>45</v>
      </c>
      <c r="M23" s="47">
        <f t="shared" si="8"/>
        <v>52</v>
      </c>
      <c r="O23" s="20">
        <f t="shared" si="7"/>
        <v>537.2</v>
      </c>
    </row>
    <row r="24">
      <c r="O24" s="17">
        <f t="shared" si="7"/>
        <v>0</v>
      </c>
    </row>
    <row r="25">
      <c r="A25" s="89">
        <v>45996.0</v>
      </c>
      <c r="B25" s="29"/>
      <c r="C25" s="29"/>
      <c r="D25" s="29"/>
      <c r="E25" s="29"/>
      <c r="F25" s="29"/>
      <c r="G25" s="12"/>
      <c r="H25" s="12"/>
      <c r="I25" s="29"/>
      <c r="J25" s="29"/>
      <c r="K25" s="74"/>
      <c r="L25" s="74"/>
      <c r="O25" s="17">
        <f t="shared" si="7"/>
        <v>0</v>
      </c>
    </row>
    <row r="26">
      <c r="A26" s="30" t="s">
        <v>14</v>
      </c>
      <c r="B26" s="30" t="s">
        <v>29</v>
      </c>
      <c r="C26" s="30" t="s">
        <v>30</v>
      </c>
      <c r="D26" s="30" t="s">
        <v>17</v>
      </c>
      <c r="E26" s="30" t="s">
        <v>31</v>
      </c>
      <c r="F26" s="30" t="s">
        <v>19</v>
      </c>
      <c r="G26" s="30" t="s">
        <v>20</v>
      </c>
      <c r="H26" s="30" t="s">
        <v>21</v>
      </c>
      <c r="I26" s="30" t="s">
        <v>22</v>
      </c>
      <c r="J26" s="30" t="s">
        <v>23</v>
      </c>
      <c r="K26" s="43" t="s">
        <v>24</v>
      </c>
      <c r="L26" s="44" t="s">
        <v>25</v>
      </c>
      <c r="M26" s="75" t="s">
        <v>53</v>
      </c>
      <c r="O26" s="17">
        <f>sum(C26:M26)</f>
        <v>0</v>
      </c>
    </row>
    <row r="27">
      <c r="A27" s="31" t="s">
        <v>26</v>
      </c>
      <c r="B27" s="33">
        <v>47.0</v>
      </c>
      <c r="C27" s="33">
        <v>32.3</v>
      </c>
      <c r="D27" s="33">
        <v>10.0</v>
      </c>
      <c r="E27" s="33">
        <v>19.0</v>
      </c>
      <c r="F27" s="33">
        <v>12.0</v>
      </c>
      <c r="G27" s="16">
        <v>13.6</v>
      </c>
      <c r="H27" s="16">
        <v>12.0</v>
      </c>
      <c r="I27" s="33">
        <v>5.0</v>
      </c>
      <c r="J27" s="33">
        <v>3.0</v>
      </c>
      <c r="K27" s="16">
        <v>0.0</v>
      </c>
      <c r="L27" s="73">
        <v>50.0</v>
      </c>
      <c r="M27" s="73">
        <v>56.0</v>
      </c>
      <c r="O27" s="17">
        <f t="shared" ref="O27:O31" si="9">sum(B27:M27)</f>
        <v>259.9</v>
      </c>
    </row>
    <row r="28">
      <c r="A28" s="31" t="s">
        <v>27</v>
      </c>
      <c r="B28" s="33">
        <v>36.0</v>
      </c>
      <c r="C28" s="33">
        <v>23.1</v>
      </c>
      <c r="D28" s="33">
        <v>0.0</v>
      </c>
      <c r="E28" s="33">
        <v>19.0</v>
      </c>
      <c r="F28" s="33">
        <v>31.0</v>
      </c>
      <c r="G28" s="33">
        <v>20.0</v>
      </c>
      <c r="H28" s="33">
        <v>4.0</v>
      </c>
      <c r="I28" s="33">
        <v>17.0</v>
      </c>
      <c r="J28" s="33">
        <v>5.0</v>
      </c>
      <c r="K28" s="16">
        <v>0.0</v>
      </c>
      <c r="L28" s="73">
        <v>0.0</v>
      </c>
      <c r="M28" s="73">
        <v>0.0</v>
      </c>
      <c r="O28" s="76">
        <f t="shared" si="9"/>
        <v>155.1</v>
      </c>
    </row>
    <row r="29">
      <c r="A29" s="34" t="s">
        <v>28</v>
      </c>
      <c r="B29" s="46">
        <f t="shared" ref="B29:M29" si="10">SUM(B27:B28)</f>
        <v>83</v>
      </c>
      <c r="C29" s="46">
        <f t="shared" si="10"/>
        <v>55.4</v>
      </c>
      <c r="D29" s="46">
        <f t="shared" si="10"/>
        <v>10</v>
      </c>
      <c r="E29" s="46">
        <f t="shared" si="10"/>
        <v>38</v>
      </c>
      <c r="F29" s="46">
        <f t="shared" si="10"/>
        <v>43</v>
      </c>
      <c r="G29" s="18">
        <f t="shared" si="10"/>
        <v>33.6</v>
      </c>
      <c r="H29" s="18">
        <f t="shared" si="10"/>
        <v>16</v>
      </c>
      <c r="I29" s="46">
        <f t="shared" si="10"/>
        <v>22</v>
      </c>
      <c r="J29" s="46">
        <f t="shared" si="10"/>
        <v>8</v>
      </c>
      <c r="K29" s="47">
        <f t="shared" si="10"/>
        <v>0</v>
      </c>
      <c r="L29" s="47">
        <f t="shared" si="10"/>
        <v>50</v>
      </c>
      <c r="M29" s="47">
        <f t="shared" si="10"/>
        <v>56</v>
      </c>
      <c r="O29" s="20">
        <f t="shared" si="9"/>
        <v>415</v>
      </c>
    </row>
    <row r="30">
      <c r="O30" s="17">
        <f t="shared" si="9"/>
        <v>0</v>
      </c>
    </row>
    <row r="31">
      <c r="A31" s="89">
        <v>45997.0</v>
      </c>
      <c r="B31" s="29"/>
      <c r="C31" s="29"/>
      <c r="D31" s="29"/>
      <c r="E31" s="29"/>
      <c r="F31" s="29"/>
      <c r="G31" s="29"/>
      <c r="H31" s="29"/>
      <c r="I31" s="29"/>
      <c r="J31" s="29"/>
      <c r="K31" s="74"/>
      <c r="L31" s="74"/>
      <c r="O31" s="17">
        <f t="shared" si="9"/>
        <v>0</v>
      </c>
    </row>
    <row r="32">
      <c r="A32" s="30" t="s">
        <v>14</v>
      </c>
      <c r="B32" s="30" t="s">
        <v>29</v>
      </c>
      <c r="C32" s="30" t="s">
        <v>30</v>
      </c>
      <c r="D32" s="30" t="s">
        <v>17</v>
      </c>
      <c r="E32" s="30" t="s">
        <v>31</v>
      </c>
      <c r="F32" s="30" t="s">
        <v>19</v>
      </c>
      <c r="G32" s="30" t="s">
        <v>20</v>
      </c>
      <c r="H32" s="30" t="s">
        <v>21</v>
      </c>
      <c r="I32" s="30" t="s">
        <v>22</v>
      </c>
      <c r="J32" s="30" t="s">
        <v>23</v>
      </c>
      <c r="K32" s="43" t="s">
        <v>24</v>
      </c>
      <c r="L32" s="44" t="s">
        <v>25</v>
      </c>
      <c r="M32" s="75" t="s">
        <v>53</v>
      </c>
      <c r="O32" s="17">
        <f>sum(C32:M32)</f>
        <v>0</v>
      </c>
    </row>
    <row r="33">
      <c r="A33" s="31" t="s">
        <v>26</v>
      </c>
      <c r="B33" s="33">
        <v>35.0</v>
      </c>
      <c r="C33" s="33">
        <v>30.0</v>
      </c>
      <c r="D33" s="33">
        <v>12.0</v>
      </c>
      <c r="E33" s="33">
        <v>22.0</v>
      </c>
      <c r="F33" s="33">
        <v>4.0</v>
      </c>
      <c r="G33" s="33">
        <v>20.0</v>
      </c>
      <c r="H33" s="33">
        <v>15.0</v>
      </c>
      <c r="I33" s="33">
        <v>6.0</v>
      </c>
      <c r="J33" s="33">
        <v>4.0</v>
      </c>
      <c r="K33" s="16">
        <v>0.0</v>
      </c>
      <c r="L33" s="73">
        <v>0.0</v>
      </c>
      <c r="M33" s="73">
        <v>0.0</v>
      </c>
      <c r="O33" s="17">
        <f t="shared" ref="O33:O37" si="11">sum(B33:M33)</f>
        <v>148</v>
      </c>
    </row>
    <row r="34">
      <c r="A34" s="31" t="s">
        <v>27</v>
      </c>
      <c r="B34" s="33">
        <v>128.0</v>
      </c>
      <c r="C34" s="33">
        <v>20.1</v>
      </c>
      <c r="D34" s="33">
        <v>0.0</v>
      </c>
      <c r="E34" s="33">
        <v>8.0</v>
      </c>
      <c r="F34" s="33">
        <v>35.0</v>
      </c>
      <c r="G34" s="33">
        <v>25.0</v>
      </c>
      <c r="H34" s="33">
        <v>10.0</v>
      </c>
      <c r="I34" s="33">
        <v>21.0</v>
      </c>
      <c r="J34" s="33">
        <v>15.0</v>
      </c>
      <c r="K34" s="16">
        <v>0.0</v>
      </c>
      <c r="L34" s="73">
        <v>0.0</v>
      </c>
      <c r="M34" s="73">
        <v>0.0</v>
      </c>
      <c r="O34" s="76">
        <f t="shared" si="11"/>
        <v>262.1</v>
      </c>
    </row>
    <row r="35">
      <c r="A35" s="34" t="s">
        <v>28</v>
      </c>
      <c r="B35" s="46">
        <f t="shared" ref="B35:M35" si="12">SUM(B33:B34)</f>
        <v>163</v>
      </c>
      <c r="C35" s="46">
        <f t="shared" si="12"/>
        <v>50.1</v>
      </c>
      <c r="D35" s="46">
        <f t="shared" si="12"/>
        <v>12</v>
      </c>
      <c r="E35" s="46">
        <f t="shared" si="12"/>
        <v>30</v>
      </c>
      <c r="F35" s="46">
        <f t="shared" si="12"/>
        <v>39</v>
      </c>
      <c r="G35" s="18">
        <f t="shared" si="12"/>
        <v>45</v>
      </c>
      <c r="H35" s="18">
        <f t="shared" si="12"/>
        <v>25</v>
      </c>
      <c r="I35" s="46">
        <f t="shared" si="12"/>
        <v>27</v>
      </c>
      <c r="J35" s="46">
        <f t="shared" si="12"/>
        <v>19</v>
      </c>
      <c r="K35" s="47">
        <f t="shared" si="12"/>
        <v>0</v>
      </c>
      <c r="L35" s="47">
        <f t="shared" si="12"/>
        <v>0</v>
      </c>
      <c r="M35" s="47">
        <f t="shared" si="12"/>
        <v>0</v>
      </c>
      <c r="O35" s="20">
        <f t="shared" si="11"/>
        <v>410.1</v>
      </c>
    </row>
    <row r="36">
      <c r="O36" s="17">
        <f t="shared" si="11"/>
        <v>0</v>
      </c>
    </row>
    <row r="37">
      <c r="A37" s="89">
        <v>45998.0</v>
      </c>
      <c r="B37" s="29"/>
      <c r="C37" s="29"/>
      <c r="D37" s="29"/>
      <c r="E37" s="29"/>
      <c r="F37" s="29"/>
      <c r="G37" s="12"/>
      <c r="H37" s="12"/>
      <c r="I37" s="29"/>
      <c r="J37" s="29"/>
      <c r="K37" s="74"/>
      <c r="L37" s="74"/>
      <c r="O37" s="17">
        <f t="shared" si="11"/>
        <v>0</v>
      </c>
    </row>
    <row r="38">
      <c r="A38" s="30" t="s">
        <v>14</v>
      </c>
      <c r="B38" s="30" t="s">
        <v>29</v>
      </c>
      <c r="C38" s="30" t="s">
        <v>30</v>
      </c>
      <c r="D38" s="30" t="s">
        <v>17</v>
      </c>
      <c r="E38" s="30" t="s">
        <v>31</v>
      </c>
      <c r="F38" s="30" t="s">
        <v>19</v>
      </c>
      <c r="G38" s="30" t="s">
        <v>20</v>
      </c>
      <c r="H38" s="30" t="s">
        <v>21</v>
      </c>
      <c r="I38" s="30" t="s">
        <v>22</v>
      </c>
      <c r="J38" s="30" t="s">
        <v>23</v>
      </c>
      <c r="K38" s="43" t="s">
        <v>24</v>
      </c>
      <c r="L38" s="44" t="s">
        <v>25</v>
      </c>
      <c r="M38" s="75" t="s">
        <v>53</v>
      </c>
      <c r="O38" s="17">
        <f>sum(C38:M38)</f>
        <v>0</v>
      </c>
    </row>
    <row r="39">
      <c r="A39" s="31" t="s">
        <v>26</v>
      </c>
      <c r="B39" s="33">
        <v>90.0</v>
      </c>
      <c r="C39" s="33">
        <v>26.0</v>
      </c>
      <c r="D39" s="33">
        <v>10.0</v>
      </c>
      <c r="E39" s="33">
        <v>8.0</v>
      </c>
      <c r="F39" s="33">
        <v>5.0</v>
      </c>
      <c r="G39" s="16">
        <v>13.6</v>
      </c>
      <c r="H39" s="16">
        <v>12.0</v>
      </c>
      <c r="I39" s="33">
        <v>60.0</v>
      </c>
      <c r="J39" s="33">
        <v>3.0</v>
      </c>
      <c r="K39" s="16">
        <v>0.0</v>
      </c>
      <c r="L39" s="73">
        <v>42.0</v>
      </c>
      <c r="M39" s="73">
        <v>60.0</v>
      </c>
      <c r="O39" s="17">
        <f t="shared" ref="O39:O43" si="13">sum(B39:M39)</f>
        <v>329.6</v>
      </c>
    </row>
    <row r="40">
      <c r="A40" s="31" t="s">
        <v>27</v>
      </c>
      <c r="B40" s="33">
        <v>37.0</v>
      </c>
      <c r="C40" s="33">
        <v>14.1</v>
      </c>
      <c r="D40" s="33"/>
      <c r="E40" s="33">
        <v>14.0</v>
      </c>
      <c r="F40" s="33">
        <v>17.0</v>
      </c>
      <c r="G40" s="33">
        <v>20.0</v>
      </c>
      <c r="H40" s="33">
        <v>4.0</v>
      </c>
      <c r="I40" s="33">
        <v>21.0</v>
      </c>
      <c r="J40" s="33">
        <v>13.0</v>
      </c>
      <c r="K40" s="16">
        <v>0.0</v>
      </c>
      <c r="L40" s="73">
        <v>0.0</v>
      </c>
      <c r="M40" s="73">
        <v>0.0</v>
      </c>
      <c r="O40" s="76">
        <f t="shared" si="13"/>
        <v>140.1</v>
      </c>
    </row>
    <row r="41">
      <c r="A41" s="34" t="s">
        <v>28</v>
      </c>
      <c r="B41" s="46">
        <f t="shared" ref="B41:M41" si="14">SUM(B39:B40)</f>
        <v>127</v>
      </c>
      <c r="C41" s="46">
        <f t="shared" si="14"/>
        <v>40.1</v>
      </c>
      <c r="D41" s="46">
        <f t="shared" si="14"/>
        <v>10</v>
      </c>
      <c r="E41" s="46">
        <f t="shared" si="14"/>
        <v>22</v>
      </c>
      <c r="F41" s="46">
        <f t="shared" si="14"/>
        <v>22</v>
      </c>
      <c r="G41" s="18">
        <f t="shared" si="14"/>
        <v>33.6</v>
      </c>
      <c r="H41" s="18">
        <f t="shared" si="14"/>
        <v>16</v>
      </c>
      <c r="I41" s="46">
        <f t="shared" si="14"/>
        <v>81</v>
      </c>
      <c r="J41" s="46">
        <f t="shared" si="14"/>
        <v>16</v>
      </c>
      <c r="K41" s="47">
        <f t="shared" si="14"/>
        <v>0</v>
      </c>
      <c r="L41" s="47">
        <f t="shared" si="14"/>
        <v>42</v>
      </c>
      <c r="M41" s="47">
        <f t="shared" si="14"/>
        <v>60</v>
      </c>
      <c r="O41" s="20">
        <f t="shared" si="13"/>
        <v>469.7</v>
      </c>
    </row>
    <row r="42">
      <c r="O42" s="17">
        <f t="shared" si="13"/>
        <v>0</v>
      </c>
    </row>
    <row r="43">
      <c r="A43" s="89">
        <v>45999.0</v>
      </c>
      <c r="B43" s="29"/>
      <c r="C43" s="29"/>
      <c r="D43" s="29"/>
      <c r="E43" s="29"/>
      <c r="F43" s="29"/>
      <c r="G43" s="29"/>
      <c r="H43" s="29"/>
      <c r="I43" s="29"/>
      <c r="J43" s="29"/>
      <c r="K43" s="74"/>
      <c r="L43" s="74"/>
      <c r="O43" s="17">
        <f t="shared" si="13"/>
        <v>0</v>
      </c>
    </row>
    <row r="44">
      <c r="A44" s="30" t="s">
        <v>14</v>
      </c>
      <c r="B44" s="30" t="s">
        <v>29</v>
      </c>
      <c r="C44" s="30" t="s">
        <v>30</v>
      </c>
      <c r="D44" s="30" t="s">
        <v>17</v>
      </c>
      <c r="E44" s="30" t="s">
        <v>31</v>
      </c>
      <c r="F44" s="30" t="s">
        <v>19</v>
      </c>
      <c r="G44" s="30" t="s">
        <v>20</v>
      </c>
      <c r="H44" s="30" t="s">
        <v>21</v>
      </c>
      <c r="I44" s="30" t="s">
        <v>22</v>
      </c>
      <c r="J44" s="30" t="s">
        <v>23</v>
      </c>
      <c r="K44" s="43" t="s">
        <v>24</v>
      </c>
      <c r="L44" s="44" t="s">
        <v>25</v>
      </c>
      <c r="M44" s="75" t="s">
        <v>53</v>
      </c>
      <c r="O44" s="17">
        <f>sum(C44:M44)</f>
        <v>0</v>
      </c>
    </row>
    <row r="45">
      <c r="A45" s="31" t="s">
        <v>26</v>
      </c>
      <c r="B45" s="33">
        <v>53.0</v>
      </c>
      <c r="C45" s="33">
        <v>21.4</v>
      </c>
      <c r="D45" s="33">
        <v>15.0</v>
      </c>
      <c r="E45" s="33">
        <v>19.0</v>
      </c>
      <c r="F45" s="33">
        <v>4.0</v>
      </c>
      <c r="G45" s="33">
        <v>20.0</v>
      </c>
      <c r="H45" s="33">
        <v>15.0</v>
      </c>
      <c r="I45" s="33">
        <v>12.0</v>
      </c>
      <c r="J45" s="33">
        <v>15.0</v>
      </c>
      <c r="K45" s="16">
        <v>0.0</v>
      </c>
      <c r="L45" s="73">
        <v>70.0</v>
      </c>
      <c r="M45" s="73">
        <v>62.0</v>
      </c>
      <c r="O45" s="17">
        <f t="shared" ref="O45:O49" si="15">sum(B45:M45)</f>
        <v>306.4</v>
      </c>
    </row>
    <row r="46">
      <c r="A46" s="31" t="s">
        <v>27</v>
      </c>
      <c r="B46" s="33">
        <v>50.0</v>
      </c>
      <c r="C46" s="33">
        <v>18.1</v>
      </c>
      <c r="D46" s="33">
        <v>40.0</v>
      </c>
      <c r="E46" s="33">
        <v>20.0</v>
      </c>
      <c r="F46" s="33">
        <v>15.0</v>
      </c>
      <c r="G46" s="33">
        <v>25.0</v>
      </c>
      <c r="H46" s="33">
        <v>10.0</v>
      </c>
      <c r="I46" s="33">
        <v>23.0</v>
      </c>
      <c r="J46" s="33">
        <v>25.0</v>
      </c>
      <c r="K46" s="16">
        <v>0.0</v>
      </c>
      <c r="L46" s="73">
        <v>0.0</v>
      </c>
      <c r="M46" s="73">
        <v>0.0</v>
      </c>
      <c r="O46" s="76">
        <f t="shared" si="15"/>
        <v>226.1</v>
      </c>
    </row>
    <row r="47">
      <c r="A47" s="34" t="s">
        <v>28</v>
      </c>
      <c r="B47" s="46">
        <f t="shared" ref="B47:M47" si="16">SUM(B45:B46)</f>
        <v>103</v>
      </c>
      <c r="C47" s="46">
        <f t="shared" si="16"/>
        <v>39.5</v>
      </c>
      <c r="D47" s="46">
        <f t="shared" si="16"/>
        <v>55</v>
      </c>
      <c r="E47" s="46">
        <f t="shared" si="16"/>
        <v>39</v>
      </c>
      <c r="F47" s="46">
        <f t="shared" si="16"/>
        <v>19</v>
      </c>
      <c r="G47" s="18">
        <f t="shared" si="16"/>
        <v>45</v>
      </c>
      <c r="H47" s="18">
        <f t="shared" si="16"/>
        <v>25</v>
      </c>
      <c r="I47" s="46">
        <f t="shared" si="16"/>
        <v>35</v>
      </c>
      <c r="J47" s="46">
        <f t="shared" si="16"/>
        <v>40</v>
      </c>
      <c r="K47" s="47">
        <f t="shared" si="16"/>
        <v>0</v>
      </c>
      <c r="L47" s="47">
        <f t="shared" si="16"/>
        <v>70</v>
      </c>
      <c r="M47" s="47">
        <f t="shared" si="16"/>
        <v>62</v>
      </c>
      <c r="O47" s="20">
        <f t="shared" si="15"/>
        <v>532.5</v>
      </c>
    </row>
    <row r="48">
      <c r="O48" s="17">
        <f t="shared" si="15"/>
        <v>0</v>
      </c>
    </row>
    <row r="49">
      <c r="A49" s="89">
        <v>46000.0</v>
      </c>
      <c r="B49" s="29"/>
      <c r="C49" s="29"/>
      <c r="D49" s="29"/>
      <c r="E49" s="29"/>
      <c r="F49" s="29"/>
      <c r="G49" s="12"/>
      <c r="H49" s="12"/>
      <c r="I49" s="29"/>
      <c r="J49" s="29"/>
      <c r="K49" s="74"/>
      <c r="L49" s="74"/>
      <c r="O49" s="17">
        <f t="shared" si="15"/>
        <v>0</v>
      </c>
    </row>
    <row r="50">
      <c r="A50" s="30" t="s">
        <v>14</v>
      </c>
      <c r="B50" s="30" t="s">
        <v>29</v>
      </c>
      <c r="C50" s="30" t="s">
        <v>30</v>
      </c>
      <c r="D50" s="30" t="s">
        <v>17</v>
      </c>
      <c r="E50" s="30" t="s">
        <v>31</v>
      </c>
      <c r="F50" s="30" t="s">
        <v>19</v>
      </c>
      <c r="G50" s="30" t="s">
        <v>20</v>
      </c>
      <c r="H50" s="30" t="s">
        <v>21</v>
      </c>
      <c r="I50" s="30" t="s">
        <v>22</v>
      </c>
      <c r="J50" s="30" t="s">
        <v>23</v>
      </c>
      <c r="K50" s="43" t="s">
        <v>24</v>
      </c>
      <c r="L50" s="44" t="s">
        <v>25</v>
      </c>
      <c r="M50" s="75" t="s">
        <v>53</v>
      </c>
      <c r="O50" s="17">
        <f>sum(C50:M50)</f>
        <v>0</v>
      </c>
    </row>
    <row r="51">
      <c r="A51" s="31" t="s">
        <v>26</v>
      </c>
      <c r="B51" s="33">
        <v>40.0</v>
      </c>
      <c r="C51" s="33">
        <v>35.0</v>
      </c>
      <c r="D51" s="33">
        <v>8.0</v>
      </c>
      <c r="E51" s="33">
        <v>14.0</v>
      </c>
      <c r="F51" s="33">
        <v>4.0</v>
      </c>
      <c r="G51" s="16">
        <v>13.6</v>
      </c>
      <c r="H51" s="16">
        <v>12.0</v>
      </c>
      <c r="I51" s="33">
        <v>12.0</v>
      </c>
      <c r="J51" s="33">
        <v>10.0</v>
      </c>
      <c r="K51" s="16">
        <v>0.0</v>
      </c>
      <c r="L51" s="73">
        <v>25.0</v>
      </c>
      <c r="M51" s="73">
        <v>55.0</v>
      </c>
      <c r="O51" s="17">
        <f t="shared" ref="O51:O55" si="17">sum(B51:M51)</f>
        <v>228.6</v>
      </c>
    </row>
    <row r="52">
      <c r="A52" s="31" t="s">
        <v>27</v>
      </c>
      <c r="B52" s="33">
        <v>116.0</v>
      </c>
      <c r="C52" s="33">
        <v>18.0</v>
      </c>
      <c r="D52" s="33">
        <v>0.0</v>
      </c>
      <c r="E52" s="33">
        <v>22.0</v>
      </c>
      <c r="F52" s="33">
        <v>10.0</v>
      </c>
      <c r="G52" s="33">
        <v>20.0</v>
      </c>
      <c r="H52" s="33">
        <v>4.0</v>
      </c>
      <c r="I52" s="33">
        <v>16.0</v>
      </c>
      <c r="J52" s="33">
        <v>29.0</v>
      </c>
      <c r="K52" s="16">
        <v>0.0</v>
      </c>
      <c r="L52" s="73">
        <v>0.0</v>
      </c>
      <c r="M52" s="73">
        <v>0.0</v>
      </c>
      <c r="O52" s="76">
        <f t="shared" si="17"/>
        <v>235</v>
      </c>
    </row>
    <row r="53">
      <c r="A53" s="34" t="s">
        <v>28</v>
      </c>
      <c r="B53" s="46">
        <f t="shared" ref="B53:M53" si="18">SUM(B51:B52)</f>
        <v>156</v>
      </c>
      <c r="C53" s="46">
        <f t="shared" si="18"/>
        <v>53</v>
      </c>
      <c r="D53" s="46">
        <f t="shared" si="18"/>
        <v>8</v>
      </c>
      <c r="E53" s="46">
        <f t="shared" si="18"/>
        <v>36</v>
      </c>
      <c r="F53" s="46">
        <f t="shared" si="18"/>
        <v>14</v>
      </c>
      <c r="G53" s="18">
        <f t="shared" si="18"/>
        <v>33.6</v>
      </c>
      <c r="H53" s="18">
        <f t="shared" si="18"/>
        <v>16</v>
      </c>
      <c r="I53" s="46">
        <f t="shared" si="18"/>
        <v>28</v>
      </c>
      <c r="J53" s="46">
        <f t="shared" si="18"/>
        <v>39</v>
      </c>
      <c r="K53" s="47">
        <f t="shared" si="18"/>
        <v>0</v>
      </c>
      <c r="L53" s="47">
        <f t="shared" si="18"/>
        <v>25</v>
      </c>
      <c r="M53" s="47">
        <f t="shared" si="18"/>
        <v>55</v>
      </c>
      <c r="O53" s="20">
        <f t="shared" si="17"/>
        <v>463.6</v>
      </c>
    </row>
    <row r="54">
      <c r="O54" s="17">
        <f t="shared" si="17"/>
        <v>0</v>
      </c>
    </row>
    <row r="55">
      <c r="A55" s="89">
        <v>46001.0</v>
      </c>
      <c r="B55" s="29"/>
      <c r="C55" s="29"/>
      <c r="D55" s="29"/>
      <c r="E55" s="29"/>
      <c r="F55" s="29"/>
      <c r="G55" s="29"/>
      <c r="H55" s="29"/>
      <c r="I55" s="29"/>
      <c r="J55" s="29"/>
      <c r="K55" s="74"/>
      <c r="L55" s="74"/>
      <c r="O55" s="17">
        <f t="shared" si="17"/>
        <v>0</v>
      </c>
    </row>
    <row r="56">
      <c r="A56" s="30" t="s">
        <v>14</v>
      </c>
      <c r="B56" s="30" t="s">
        <v>29</v>
      </c>
      <c r="C56" s="30" t="s">
        <v>30</v>
      </c>
      <c r="D56" s="30" t="s">
        <v>17</v>
      </c>
      <c r="E56" s="30" t="s">
        <v>31</v>
      </c>
      <c r="F56" s="30" t="s">
        <v>19</v>
      </c>
      <c r="G56" s="30" t="s">
        <v>20</v>
      </c>
      <c r="H56" s="30" t="s">
        <v>21</v>
      </c>
      <c r="I56" s="30" t="s">
        <v>22</v>
      </c>
      <c r="J56" s="30" t="s">
        <v>23</v>
      </c>
      <c r="K56" s="44" t="s">
        <v>24</v>
      </c>
      <c r="L56" s="44" t="s">
        <v>25</v>
      </c>
      <c r="M56" s="75" t="s">
        <v>53</v>
      </c>
      <c r="O56" s="17">
        <f>sum(C56:M56)</f>
        <v>0</v>
      </c>
    </row>
    <row r="57">
      <c r="A57" s="31" t="s">
        <v>26</v>
      </c>
      <c r="B57" s="33">
        <v>80.0</v>
      </c>
      <c r="C57" s="33">
        <v>38.0</v>
      </c>
      <c r="D57" s="33">
        <v>5.0</v>
      </c>
      <c r="E57" s="33">
        <v>14.0</v>
      </c>
      <c r="F57" s="33">
        <v>4.0</v>
      </c>
      <c r="G57" s="33">
        <v>20.0</v>
      </c>
      <c r="H57" s="33">
        <v>15.0</v>
      </c>
      <c r="I57" s="33">
        <v>12.0</v>
      </c>
      <c r="J57" s="33">
        <v>10.0</v>
      </c>
      <c r="K57" s="16">
        <v>0.0</v>
      </c>
      <c r="L57" s="73">
        <v>56.0</v>
      </c>
      <c r="M57" s="73">
        <v>58.0</v>
      </c>
      <c r="O57" s="17">
        <f t="shared" ref="O57:O61" si="19">sum(B57:M57)</f>
        <v>312</v>
      </c>
    </row>
    <row r="58">
      <c r="A58" s="31" t="s">
        <v>27</v>
      </c>
      <c r="B58" s="33">
        <v>118.0</v>
      </c>
      <c r="C58" s="33">
        <v>20.0</v>
      </c>
      <c r="D58" s="33">
        <v>0.0</v>
      </c>
      <c r="E58" s="33">
        <v>22.0</v>
      </c>
      <c r="F58" s="33">
        <v>2.0</v>
      </c>
      <c r="G58" s="33">
        <v>25.0</v>
      </c>
      <c r="H58" s="33">
        <v>10.0</v>
      </c>
      <c r="I58" s="33">
        <v>16.0</v>
      </c>
      <c r="J58" s="33">
        <v>29.0</v>
      </c>
      <c r="K58" s="16">
        <v>0.0</v>
      </c>
      <c r="L58" s="73">
        <v>0.0</v>
      </c>
      <c r="M58" s="73">
        <v>0.0</v>
      </c>
      <c r="O58" s="76">
        <f t="shared" si="19"/>
        <v>242</v>
      </c>
    </row>
    <row r="59">
      <c r="A59" s="34" t="s">
        <v>28</v>
      </c>
      <c r="B59" s="46">
        <f t="shared" ref="B59:M59" si="20">SUM(B57:B58)</f>
        <v>198</v>
      </c>
      <c r="C59" s="46">
        <f t="shared" si="20"/>
        <v>58</v>
      </c>
      <c r="D59" s="46">
        <f t="shared" si="20"/>
        <v>5</v>
      </c>
      <c r="E59" s="46">
        <f t="shared" si="20"/>
        <v>36</v>
      </c>
      <c r="F59" s="46">
        <f t="shared" si="20"/>
        <v>6</v>
      </c>
      <c r="G59" s="18">
        <f t="shared" si="20"/>
        <v>45</v>
      </c>
      <c r="H59" s="18">
        <f t="shared" si="20"/>
        <v>25</v>
      </c>
      <c r="I59" s="46">
        <f t="shared" si="20"/>
        <v>28</v>
      </c>
      <c r="J59" s="46">
        <f t="shared" si="20"/>
        <v>39</v>
      </c>
      <c r="K59" s="47">
        <f t="shared" si="20"/>
        <v>0</v>
      </c>
      <c r="L59" s="47">
        <f t="shared" si="20"/>
        <v>56</v>
      </c>
      <c r="M59" s="47">
        <f t="shared" si="20"/>
        <v>58</v>
      </c>
      <c r="O59" s="20">
        <f t="shared" si="19"/>
        <v>554</v>
      </c>
    </row>
    <row r="60">
      <c r="O60" s="17">
        <f t="shared" si="19"/>
        <v>0</v>
      </c>
    </row>
    <row r="61">
      <c r="A61" s="89">
        <v>46002.0</v>
      </c>
      <c r="B61" s="29"/>
      <c r="C61" s="29"/>
      <c r="D61" s="29"/>
      <c r="E61" s="29"/>
      <c r="F61" s="29"/>
      <c r="G61" s="12"/>
      <c r="H61" s="12"/>
      <c r="I61" s="29"/>
      <c r="J61" s="29"/>
      <c r="K61" s="74"/>
      <c r="L61" s="74"/>
      <c r="O61" s="17">
        <f t="shared" si="19"/>
        <v>0</v>
      </c>
    </row>
    <row r="62">
      <c r="A62" s="30" t="s">
        <v>14</v>
      </c>
      <c r="B62" s="30" t="s">
        <v>29</v>
      </c>
      <c r="C62" s="30" t="s">
        <v>30</v>
      </c>
      <c r="D62" s="30" t="s">
        <v>17</v>
      </c>
      <c r="E62" s="30" t="s">
        <v>31</v>
      </c>
      <c r="F62" s="30" t="s">
        <v>19</v>
      </c>
      <c r="G62" s="30" t="s">
        <v>20</v>
      </c>
      <c r="H62" s="30" t="s">
        <v>21</v>
      </c>
      <c r="I62" s="30" t="s">
        <v>22</v>
      </c>
      <c r="J62" s="30" t="s">
        <v>23</v>
      </c>
      <c r="K62" s="43" t="s">
        <v>24</v>
      </c>
      <c r="L62" s="44" t="s">
        <v>25</v>
      </c>
      <c r="M62" s="75" t="s">
        <v>53</v>
      </c>
      <c r="O62" s="17">
        <f>sum(C62:M62)</f>
        <v>0</v>
      </c>
    </row>
    <row r="63">
      <c r="A63" s="31" t="s">
        <v>26</v>
      </c>
      <c r="B63" s="33">
        <v>48.0</v>
      </c>
      <c r="C63" s="33">
        <v>29.0</v>
      </c>
      <c r="D63" s="33">
        <v>11.0</v>
      </c>
      <c r="E63" s="33">
        <v>10.0</v>
      </c>
      <c r="F63" s="33">
        <v>14.0</v>
      </c>
      <c r="G63" s="16">
        <v>13.6</v>
      </c>
      <c r="H63" s="16">
        <v>12.0</v>
      </c>
      <c r="I63" s="33">
        <v>14.0</v>
      </c>
      <c r="J63" s="33">
        <v>6.0</v>
      </c>
      <c r="K63" s="16">
        <v>0.0</v>
      </c>
      <c r="L63" s="73">
        <v>50.0</v>
      </c>
      <c r="M63" s="73">
        <v>62.0</v>
      </c>
      <c r="O63" s="17">
        <f t="shared" ref="O63:O67" si="21">sum(B63:M63)</f>
        <v>269.6</v>
      </c>
    </row>
    <row r="64">
      <c r="A64" s="31" t="s">
        <v>27</v>
      </c>
      <c r="B64" s="33">
        <v>111.0</v>
      </c>
      <c r="C64" s="33">
        <v>11.0</v>
      </c>
      <c r="D64" s="33">
        <v>57.0</v>
      </c>
      <c r="E64" s="33">
        <v>11.0</v>
      </c>
      <c r="F64" s="33">
        <v>18.0</v>
      </c>
      <c r="G64" s="33">
        <v>0.0</v>
      </c>
      <c r="H64" s="33">
        <v>0.0</v>
      </c>
      <c r="I64" s="33">
        <v>31.0</v>
      </c>
      <c r="J64" s="33">
        <v>11.0</v>
      </c>
      <c r="K64" s="16">
        <v>0.0</v>
      </c>
      <c r="L64" s="73">
        <v>0.0</v>
      </c>
      <c r="M64" s="73">
        <v>0.0</v>
      </c>
      <c r="O64" s="76">
        <f t="shared" si="21"/>
        <v>250</v>
      </c>
    </row>
    <row r="65">
      <c r="A65" s="34" t="s">
        <v>28</v>
      </c>
      <c r="B65" s="46">
        <f t="shared" ref="B65:M65" si="22">SUM(B63:B64)</f>
        <v>159</v>
      </c>
      <c r="C65" s="46">
        <f t="shared" si="22"/>
        <v>40</v>
      </c>
      <c r="D65" s="46">
        <f t="shared" si="22"/>
        <v>68</v>
      </c>
      <c r="E65" s="46">
        <f t="shared" si="22"/>
        <v>21</v>
      </c>
      <c r="F65" s="46">
        <f t="shared" si="22"/>
        <v>32</v>
      </c>
      <c r="G65" s="18">
        <f t="shared" si="22"/>
        <v>13.6</v>
      </c>
      <c r="H65" s="18">
        <f t="shared" si="22"/>
        <v>12</v>
      </c>
      <c r="I65" s="46">
        <f t="shared" si="22"/>
        <v>45</v>
      </c>
      <c r="J65" s="46">
        <f t="shared" si="22"/>
        <v>17</v>
      </c>
      <c r="K65" s="47">
        <f t="shared" si="22"/>
        <v>0</v>
      </c>
      <c r="L65" s="47">
        <f t="shared" si="22"/>
        <v>50</v>
      </c>
      <c r="M65" s="47">
        <f t="shared" si="22"/>
        <v>62</v>
      </c>
      <c r="O65" s="20">
        <f t="shared" si="21"/>
        <v>519.6</v>
      </c>
    </row>
    <row r="66">
      <c r="O66" s="17">
        <f t="shared" si="21"/>
        <v>0</v>
      </c>
    </row>
    <row r="67">
      <c r="A67" s="89">
        <v>46003.0</v>
      </c>
      <c r="B67" s="29"/>
      <c r="C67" s="29"/>
      <c r="D67" s="29"/>
      <c r="E67" s="29"/>
      <c r="F67" s="29"/>
      <c r="G67" s="29"/>
      <c r="H67" s="29"/>
      <c r="I67" s="29"/>
      <c r="J67" s="29"/>
      <c r="K67" s="74"/>
      <c r="L67" s="74"/>
      <c r="O67" s="17">
        <f t="shared" si="21"/>
        <v>0</v>
      </c>
    </row>
    <row r="68">
      <c r="A68" s="30" t="s">
        <v>14</v>
      </c>
      <c r="B68" s="30" t="s">
        <v>29</v>
      </c>
      <c r="C68" s="30" t="s">
        <v>30</v>
      </c>
      <c r="D68" s="30" t="s">
        <v>17</v>
      </c>
      <c r="E68" s="30" t="s">
        <v>31</v>
      </c>
      <c r="F68" s="30" t="s">
        <v>19</v>
      </c>
      <c r="G68" s="30" t="s">
        <v>20</v>
      </c>
      <c r="H68" s="30" t="s">
        <v>21</v>
      </c>
      <c r="I68" s="30" t="s">
        <v>22</v>
      </c>
      <c r="J68" s="30" t="s">
        <v>23</v>
      </c>
      <c r="K68" s="43" t="s">
        <v>24</v>
      </c>
      <c r="L68" s="44" t="s">
        <v>25</v>
      </c>
      <c r="M68" s="75" t="s">
        <v>53</v>
      </c>
      <c r="O68" s="17">
        <f>sum(C68:M68)</f>
        <v>0</v>
      </c>
    </row>
    <row r="69">
      <c r="A69" s="31" t="s">
        <v>26</v>
      </c>
      <c r="B69" s="33">
        <v>48.0</v>
      </c>
      <c r="C69" s="33">
        <v>21.0</v>
      </c>
      <c r="D69" s="33">
        <v>6.0</v>
      </c>
      <c r="E69" s="33">
        <v>13.0</v>
      </c>
      <c r="F69" s="33">
        <v>6.0</v>
      </c>
      <c r="G69" s="33">
        <v>20.0</v>
      </c>
      <c r="H69" s="33">
        <v>15.0</v>
      </c>
      <c r="I69" s="33">
        <v>4.0</v>
      </c>
      <c r="J69" s="33">
        <v>7.0</v>
      </c>
      <c r="K69" s="16">
        <v>0.0</v>
      </c>
      <c r="L69" s="73">
        <v>50.0</v>
      </c>
      <c r="M69" s="73">
        <v>65.0</v>
      </c>
      <c r="O69" s="17">
        <f t="shared" ref="O69:O73" si="23">sum(B69:M69)</f>
        <v>255</v>
      </c>
    </row>
    <row r="70">
      <c r="A70" s="31" t="s">
        <v>27</v>
      </c>
      <c r="B70" s="33">
        <v>126.0</v>
      </c>
      <c r="C70" s="33">
        <v>17.1</v>
      </c>
      <c r="D70" s="33"/>
      <c r="E70" s="33">
        <v>22.0</v>
      </c>
      <c r="F70" s="33">
        <v>21.0</v>
      </c>
      <c r="G70" s="33">
        <v>20.0</v>
      </c>
      <c r="H70" s="33">
        <v>4.0</v>
      </c>
      <c r="I70" s="33">
        <v>14.0</v>
      </c>
      <c r="J70" s="33">
        <v>11.0</v>
      </c>
      <c r="K70" s="16">
        <v>0.0</v>
      </c>
      <c r="L70" s="73">
        <v>0.0</v>
      </c>
      <c r="M70" s="73">
        <v>0.0</v>
      </c>
      <c r="O70" s="76">
        <f t="shared" si="23"/>
        <v>235.1</v>
      </c>
    </row>
    <row r="71">
      <c r="A71" s="34" t="s">
        <v>28</v>
      </c>
      <c r="B71" s="46">
        <f t="shared" ref="B71:M71" si="24">SUM(B69:B70)</f>
        <v>174</v>
      </c>
      <c r="C71" s="46">
        <f t="shared" si="24"/>
        <v>38.1</v>
      </c>
      <c r="D71" s="46">
        <f t="shared" si="24"/>
        <v>6</v>
      </c>
      <c r="E71" s="46">
        <f t="shared" si="24"/>
        <v>35</v>
      </c>
      <c r="F71" s="46">
        <f t="shared" si="24"/>
        <v>27</v>
      </c>
      <c r="G71" s="18">
        <f t="shared" si="24"/>
        <v>40</v>
      </c>
      <c r="H71" s="18">
        <f t="shared" si="24"/>
        <v>19</v>
      </c>
      <c r="I71" s="46">
        <f t="shared" si="24"/>
        <v>18</v>
      </c>
      <c r="J71" s="46">
        <f t="shared" si="24"/>
        <v>18</v>
      </c>
      <c r="K71" s="47">
        <f t="shared" si="24"/>
        <v>0</v>
      </c>
      <c r="L71" s="47">
        <f t="shared" si="24"/>
        <v>50</v>
      </c>
      <c r="M71" s="47">
        <f t="shared" si="24"/>
        <v>65</v>
      </c>
      <c r="O71" s="20">
        <f t="shared" si="23"/>
        <v>490.1</v>
      </c>
    </row>
    <row r="72">
      <c r="O72" s="17">
        <f t="shared" si="23"/>
        <v>0</v>
      </c>
    </row>
    <row r="73">
      <c r="A73" s="89">
        <v>46004.0</v>
      </c>
      <c r="B73" s="29"/>
      <c r="C73" s="29"/>
      <c r="D73" s="29"/>
      <c r="E73" s="29"/>
      <c r="F73" s="29"/>
      <c r="G73" s="12"/>
      <c r="H73" s="12"/>
      <c r="I73" s="29"/>
      <c r="J73" s="29"/>
      <c r="K73" s="74"/>
      <c r="L73" s="74"/>
      <c r="O73" s="17">
        <f t="shared" si="23"/>
        <v>0</v>
      </c>
    </row>
    <row r="74">
      <c r="A74" s="30" t="s">
        <v>14</v>
      </c>
      <c r="B74" s="30" t="s">
        <v>29</v>
      </c>
      <c r="C74" s="30" t="s">
        <v>30</v>
      </c>
      <c r="D74" s="30" t="s">
        <v>17</v>
      </c>
      <c r="E74" s="30" t="s">
        <v>31</v>
      </c>
      <c r="F74" s="30" t="s">
        <v>19</v>
      </c>
      <c r="G74" s="30" t="s">
        <v>20</v>
      </c>
      <c r="H74" s="30" t="s">
        <v>21</v>
      </c>
      <c r="I74" s="30" t="s">
        <v>22</v>
      </c>
      <c r="J74" s="30" t="s">
        <v>23</v>
      </c>
      <c r="K74" s="43" t="s">
        <v>24</v>
      </c>
      <c r="L74" s="44" t="s">
        <v>25</v>
      </c>
      <c r="M74" s="75" t="s">
        <v>53</v>
      </c>
      <c r="O74" s="17">
        <f>sum(C74:M74)</f>
        <v>0</v>
      </c>
    </row>
    <row r="75">
      <c r="A75" s="31" t="s">
        <v>26</v>
      </c>
      <c r="B75" s="33">
        <v>28.0</v>
      </c>
      <c r="C75" s="33">
        <v>26.1</v>
      </c>
      <c r="D75" s="33">
        <v>15.0</v>
      </c>
      <c r="E75" s="33">
        <v>12.0</v>
      </c>
      <c r="F75" s="33">
        <v>5.0</v>
      </c>
      <c r="G75" s="16">
        <v>13.6</v>
      </c>
      <c r="H75" s="16">
        <v>12.0</v>
      </c>
      <c r="I75" s="33">
        <v>7.0</v>
      </c>
      <c r="J75" s="33">
        <v>11.0</v>
      </c>
      <c r="K75" s="16">
        <v>0.0</v>
      </c>
      <c r="L75" s="73">
        <v>30.0</v>
      </c>
      <c r="M75" s="73">
        <v>0.0</v>
      </c>
      <c r="O75" s="17">
        <f t="shared" ref="O75:O79" si="25">sum(B75:M75)</f>
        <v>159.7</v>
      </c>
    </row>
    <row r="76">
      <c r="A76" s="31" t="s">
        <v>27</v>
      </c>
      <c r="B76" s="33">
        <v>126.0</v>
      </c>
      <c r="C76" s="33">
        <v>19.0</v>
      </c>
      <c r="D76" s="33"/>
      <c r="E76" s="33">
        <v>28.0</v>
      </c>
      <c r="F76" s="33">
        <v>23.0</v>
      </c>
      <c r="G76" s="33">
        <v>20.0</v>
      </c>
      <c r="H76" s="33">
        <v>4.0</v>
      </c>
      <c r="I76" s="33">
        <v>21.0</v>
      </c>
      <c r="J76" s="33">
        <v>11.0</v>
      </c>
      <c r="K76" s="16">
        <v>0.0</v>
      </c>
      <c r="L76" s="73">
        <v>0.0</v>
      </c>
      <c r="M76" s="73">
        <v>0.0</v>
      </c>
      <c r="O76" s="76">
        <f t="shared" si="25"/>
        <v>252</v>
      </c>
    </row>
    <row r="77">
      <c r="A77" s="34" t="s">
        <v>28</v>
      </c>
      <c r="B77" s="46">
        <f t="shared" ref="B77:M77" si="26">SUM(B75:B76)</f>
        <v>154</v>
      </c>
      <c r="C77" s="46">
        <f t="shared" si="26"/>
        <v>45.1</v>
      </c>
      <c r="D77" s="46">
        <f t="shared" si="26"/>
        <v>15</v>
      </c>
      <c r="E77" s="46">
        <f t="shared" si="26"/>
        <v>40</v>
      </c>
      <c r="F77" s="46">
        <f t="shared" si="26"/>
        <v>28</v>
      </c>
      <c r="G77" s="18">
        <f t="shared" si="26"/>
        <v>33.6</v>
      </c>
      <c r="H77" s="18">
        <f t="shared" si="26"/>
        <v>16</v>
      </c>
      <c r="I77" s="46">
        <f t="shared" si="26"/>
        <v>28</v>
      </c>
      <c r="J77" s="46">
        <f t="shared" si="26"/>
        <v>22</v>
      </c>
      <c r="K77" s="47">
        <f t="shared" si="26"/>
        <v>0</v>
      </c>
      <c r="L77" s="47">
        <f t="shared" si="26"/>
        <v>30</v>
      </c>
      <c r="M77" s="47">
        <f t="shared" si="26"/>
        <v>0</v>
      </c>
      <c r="O77" s="20">
        <f t="shared" si="25"/>
        <v>411.7</v>
      </c>
    </row>
    <row r="78">
      <c r="O78" s="17">
        <f t="shared" si="25"/>
        <v>0</v>
      </c>
    </row>
    <row r="79">
      <c r="A79" s="89">
        <v>46005.0</v>
      </c>
      <c r="B79" s="29"/>
      <c r="C79" s="29"/>
      <c r="D79" s="29"/>
      <c r="E79" s="29"/>
      <c r="F79" s="29"/>
      <c r="G79" s="29"/>
      <c r="H79" s="29"/>
      <c r="I79" s="29"/>
      <c r="J79" s="29"/>
      <c r="K79" s="74"/>
      <c r="L79" s="74"/>
      <c r="O79" s="17">
        <f t="shared" si="25"/>
        <v>0</v>
      </c>
    </row>
    <row r="80">
      <c r="A80" s="30" t="s">
        <v>14</v>
      </c>
      <c r="B80" s="30" t="s">
        <v>29</v>
      </c>
      <c r="C80" s="30" t="s">
        <v>30</v>
      </c>
      <c r="D80" s="30" t="s">
        <v>17</v>
      </c>
      <c r="E80" s="30" t="s">
        <v>31</v>
      </c>
      <c r="F80" s="30" t="s">
        <v>19</v>
      </c>
      <c r="G80" s="30" t="s">
        <v>20</v>
      </c>
      <c r="H80" s="30" t="s">
        <v>21</v>
      </c>
      <c r="I80" s="30" t="s">
        <v>22</v>
      </c>
      <c r="J80" s="30" t="s">
        <v>23</v>
      </c>
      <c r="K80" s="43" t="s">
        <v>24</v>
      </c>
      <c r="L80" s="44" t="s">
        <v>25</v>
      </c>
      <c r="M80" s="75" t="s">
        <v>53</v>
      </c>
      <c r="O80" s="17">
        <f>sum(C80:M80)</f>
        <v>0</v>
      </c>
    </row>
    <row r="81">
      <c r="A81" s="31" t="s">
        <v>26</v>
      </c>
      <c r="B81" s="33">
        <v>55.0</v>
      </c>
      <c r="C81" s="33">
        <v>21.0</v>
      </c>
      <c r="D81" s="33">
        <v>10.0</v>
      </c>
      <c r="E81" s="33">
        <v>10.0</v>
      </c>
      <c r="F81" s="33">
        <v>8.0</v>
      </c>
      <c r="G81" s="33">
        <v>20.0</v>
      </c>
      <c r="H81" s="33">
        <v>15.0</v>
      </c>
      <c r="I81" s="33">
        <v>12.0</v>
      </c>
      <c r="J81" s="33">
        <v>9.0</v>
      </c>
      <c r="K81" s="16">
        <v>0.0</v>
      </c>
      <c r="L81" s="73">
        <v>25.0</v>
      </c>
      <c r="M81" s="73">
        <v>55.0</v>
      </c>
      <c r="O81" s="17">
        <f t="shared" ref="O81:O85" si="27">sum(B81:M81)</f>
        <v>240</v>
      </c>
    </row>
    <row r="82">
      <c r="A82" s="31" t="s">
        <v>27</v>
      </c>
      <c r="B82" s="33">
        <v>105.0</v>
      </c>
      <c r="C82" s="33">
        <v>12.0</v>
      </c>
      <c r="D82" s="33"/>
      <c r="E82" s="33">
        <v>38.0</v>
      </c>
      <c r="F82" s="33">
        <v>22.0</v>
      </c>
      <c r="G82" s="33">
        <v>25.0</v>
      </c>
      <c r="H82" s="33">
        <v>10.0</v>
      </c>
      <c r="I82" s="33">
        <v>19.0</v>
      </c>
      <c r="J82" s="33">
        <v>12.0</v>
      </c>
      <c r="K82" s="16">
        <v>0.0</v>
      </c>
      <c r="L82" s="73">
        <v>0.0</v>
      </c>
      <c r="M82" s="73">
        <v>0.0</v>
      </c>
      <c r="O82" s="76">
        <f t="shared" si="27"/>
        <v>243</v>
      </c>
    </row>
    <row r="83">
      <c r="A83" s="34" t="s">
        <v>28</v>
      </c>
      <c r="B83" s="46">
        <f t="shared" ref="B83:M83" si="28">SUM(B81:B82)</f>
        <v>160</v>
      </c>
      <c r="C83" s="46">
        <f t="shared" si="28"/>
        <v>33</v>
      </c>
      <c r="D83" s="46">
        <f t="shared" si="28"/>
        <v>10</v>
      </c>
      <c r="E83" s="46">
        <f t="shared" si="28"/>
        <v>48</v>
      </c>
      <c r="F83" s="46">
        <f t="shared" si="28"/>
        <v>30</v>
      </c>
      <c r="G83" s="18">
        <f t="shared" si="28"/>
        <v>45</v>
      </c>
      <c r="H83" s="18">
        <f t="shared" si="28"/>
        <v>25</v>
      </c>
      <c r="I83" s="46">
        <f t="shared" si="28"/>
        <v>31</v>
      </c>
      <c r="J83" s="46">
        <f t="shared" si="28"/>
        <v>21</v>
      </c>
      <c r="K83" s="47">
        <f t="shared" si="28"/>
        <v>0</v>
      </c>
      <c r="L83" s="47">
        <f t="shared" si="28"/>
        <v>25</v>
      </c>
      <c r="M83" s="47">
        <f t="shared" si="28"/>
        <v>55</v>
      </c>
      <c r="O83" s="20">
        <f t="shared" si="27"/>
        <v>483</v>
      </c>
    </row>
    <row r="84">
      <c r="O84" s="17">
        <f t="shared" si="27"/>
        <v>0</v>
      </c>
    </row>
    <row r="85">
      <c r="A85" s="89">
        <v>46006.0</v>
      </c>
      <c r="B85" s="29"/>
      <c r="C85" s="29"/>
      <c r="D85" s="29"/>
      <c r="E85" s="29"/>
      <c r="F85" s="29"/>
      <c r="G85" s="12"/>
      <c r="H85" s="12"/>
      <c r="I85" s="29"/>
      <c r="J85" s="29"/>
      <c r="K85" s="74"/>
      <c r="L85" s="74"/>
      <c r="O85" s="17">
        <f t="shared" si="27"/>
        <v>0</v>
      </c>
    </row>
    <row r="86">
      <c r="A86" s="30" t="s">
        <v>14</v>
      </c>
      <c r="B86" s="30" t="s">
        <v>29</v>
      </c>
      <c r="C86" s="30" t="s">
        <v>30</v>
      </c>
      <c r="D86" s="30" t="s">
        <v>17</v>
      </c>
      <c r="E86" s="30" t="s">
        <v>31</v>
      </c>
      <c r="F86" s="30" t="s">
        <v>19</v>
      </c>
      <c r="G86" s="30" t="s">
        <v>20</v>
      </c>
      <c r="H86" s="30" t="s">
        <v>21</v>
      </c>
      <c r="I86" s="30" t="s">
        <v>22</v>
      </c>
      <c r="J86" s="30" t="s">
        <v>23</v>
      </c>
      <c r="K86" s="43" t="s">
        <v>24</v>
      </c>
      <c r="L86" s="44" t="s">
        <v>25</v>
      </c>
      <c r="M86" s="75" t="s">
        <v>53</v>
      </c>
      <c r="O86" s="17">
        <f>sum(C86:M86)</f>
        <v>0</v>
      </c>
    </row>
    <row r="87">
      <c r="A87" s="31" t="s">
        <v>26</v>
      </c>
      <c r="B87" s="33">
        <v>26.0</v>
      </c>
      <c r="C87" s="33">
        <v>26.1</v>
      </c>
      <c r="D87" s="33">
        <v>6.0</v>
      </c>
      <c r="E87" s="33">
        <v>19.0</v>
      </c>
      <c r="F87" s="33">
        <v>12.0</v>
      </c>
      <c r="G87" s="16">
        <v>13.6</v>
      </c>
      <c r="H87" s="16">
        <v>12.0</v>
      </c>
      <c r="I87" s="33">
        <v>5.0</v>
      </c>
      <c r="J87" s="33">
        <v>3.0</v>
      </c>
      <c r="K87" s="16">
        <v>0.0</v>
      </c>
      <c r="L87" s="73">
        <v>60.0</v>
      </c>
      <c r="M87" s="73">
        <v>65.0</v>
      </c>
      <c r="O87" s="17">
        <f t="shared" ref="O87:O91" si="29">sum(B87:M87)</f>
        <v>247.7</v>
      </c>
    </row>
    <row r="88">
      <c r="A88" s="31" t="s">
        <v>27</v>
      </c>
      <c r="B88" s="33">
        <v>77.0</v>
      </c>
      <c r="C88" s="33">
        <v>29.0</v>
      </c>
      <c r="D88" s="33">
        <v>31.0</v>
      </c>
      <c r="E88" s="33">
        <v>19.0</v>
      </c>
      <c r="F88" s="33">
        <v>31.0</v>
      </c>
      <c r="G88" s="33">
        <v>20.0</v>
      </c>
      <c r="H88" s="33">
        <v>4.0</v>
      </c>
      <c r="I88" s="33">
        <v>17.0</v>
      </c>
      <c r="J88" s="33">
        <v>5.0</v>
      </c>
      <c r="K88" s="16">
        <v>0.0</v>
      </c>
      <c r="L88" s="73">
        <v>0.0</v>
      </c>
      <c r="M88" s="73">
        <v>0.0</v>
      </c>
      <c r="O88" s="76">
        <f t="shared" si="29"/>
        <v>233</v>
      </c>
    </row>
    <row r="89">
      <c r="A89" s="34" t="s">
        <v>28</v>
      </c>
      <c r="B89" s="46">
        <f t="shared" ref="B89:M89" si="30">SUM(B87:B88)</f>
        <v>103</v>
      </c>
      <c r="C89" s="46">
        <f t="shared" si="30"/>
        <v>55.1</v>
      </c>
      <c r="D89" s="46">
        <f t="shared" si="30"/>
        <v>37</v>
      </c>
      <c r="E89" s="46">
        <f t="shared" si="30"/>
        <v>38</v>
      </c>
      <c r="F89" s="46">
        <f t="shared" si="30"/>
        <v>43</v>
      </c>
      <c r="G89" s="18">
        <f t="shared" si="30"/>
        <v>33.6</v>
      </c>
      <c r="H89" s="18">
        <f t="shared" si="30"/>
        <v>16</v>
      </c>
      <c r="I89" s="46">
        <f t="shared" si="30"/>
        <v>22</v>
      </c>
      <c r="J89" s="46">
        <f t="shared" si="30"/>
        <v>8</v>
      </c>
      <c r="K89" s="47">
        <f t="shared" si="30"/>
        <v>0</v>
      </c>
      <c r="L89" s="47">
        <f t="shared" si="30"/>
        <v>60</v>
      </c>
      <c r="M89" s="47">
        <f t="shared" si="30"/>
        <v>65</v>
      </c>
      <c r="O89" s="20">
        <f t="shared" si="29"/>
        <v>480.7</v>
      </c>
    </row>
    <row r="90">
      <c r="O90" s="17">
        <f t="shared" si="29"/>
        <v>0</v>
      </c>
    </row>
    <row r="91">
      <c r="A91" s="89">
        <v>46007.0</v>
      </c>
      <c r="B91" s="29"/>
      <c r="C91" s="29"/>
      <c r="D91" s="29"/>
      <c r="E91" s="29"/>
      <c r="F91" s="29"/>
      <c r="G91" s="29"/>
      <c r="H91" s="29"/>
      <c r="I91" s="29"/>
      <c r="J91" s="29"/>
      <c r="K91" s="74"/>
      <c r="L91" s="74"/>
      <c r="O91" s="17">
        <f t="shared" si="29"/>
        <v>0</v>
      </c>
    </row>
    <row r="92">
      <c r="A92" s="30" t="s">
        <v>14</v>
      </c>
      <c r="B92" s="30" t="s">
        <v>29</v>
      </c>
      <c r="C92" s="30" t="s">
        <v>30</v>
      </c>
      <c r="D92" s="30" t="s">
        <v>17</v>
      </c>
      <c r="E92" s="30" t="s">
        <v>31</v>
      </c>
      <c r="F92" s="30" t="s">
        <v>19</v>
      </c>
      <c r="G92" s="30" t="s">
        <v>20</v>
      </c>
      <c r="H92" s="30" t="s">
        <v>21</v>
      </c>
      <c r="I92" s="30" t="s">
        <v>22</v>
      </c>
      <c r="J92" s="30" t="s">
        <v>23</v>
      </c>
      <c r="K92" s="43" t="s">
        <v>24</v>
      </c>
      <c r="L92" s="44" t="s">
        <v>25</v>
      </c>
      <c r="M92" s="75" t="s">
        <v>53</v>
      </c>
      <c r="O92" s="17">
        <f>sum(C92:M92)</f>
        <v>0</v>
      </c>
    </row>
    <row r="93">
      <c r="A93" s="31" t="s">
        <v>26</v>
      </c>
      <c r="B93" s="33">
        <v>36.0</v>
      </c>
      <c r="C93" s="33">
        <v>35.5</v>
      </c>
      <c r="D93" s="33">
        <v>10.0</v>
      </c>
      <c r="E93" s="33">
        <v>22.0</v>
      </c>
      <c r="F93" s="33">
        <v>4.0</v>
      </c>
      <c r="G93" s="33">
        <v>20.0</v>
      </c>
      <c r="H93" s="33">
        <v>15.0</v>
      </c>
      <c r="I93" s="33">
        <v>6.0</v>
      </c>
      <c r="J93" s="33">
        <v>4.0</v>
      </c>
      <c r="K93" s="16">
        <v>0.0</v>
      </c>
      <c r="L93" s="73">
        <v>30.0</v>
      </c>
      <c r="M93" s="73">
        <v>55.0</v>
      </c>
      <c r="O93" s="17">
        <f t="shared" ref="O93:O97" si="31">sum(B93:M93)</f>
        <v>237.5</v>
      </c>
    </row>
    <row r="94">
      <c r="A94" s="31" t="s">
        <v>27</v>
      </c>
      <c r="B94" s="33">
        <v>25.0</v>
      </c>
      <c r="C94" s="33">
        <v>10.0</v>
      </c>
      <c r="D94" s="33"/>
      <c r="E94" s="33">
        <v>8.0</v>
      </c>
      <c r="F94" s="33">
        <v>35.0</v>
      </c>
      <c r="G94" s="33">
        <v>25.0</v>
      </c>
      <c r="H94" s="33">
        <v>10.0</v>
      </c>
      <c r="I94" s="33">
        <v>21.0</v>
      </c>
      <c r="J94" s="33">
        <v>15.0</v>
      </c>
      <c r="K94" s="16">
        <v>0.0</v>
      </c>
      <c r="L94" s="73">
        <v>0.0</v>
      </c>
      <c r="M94" s="73">
        <v>0.0</v>
      </c>
      <c r="O94" s="76">
        <f t="shared" si="31"/>
        <v>149</v>
      </c>
    </row>
    <row r="95">
      <c r="A95" s="34" t="s">
        <v>28</v>
      </c>
      <c r="B95" s="46">
        <f t="shared" ref="B95:M95" si="32">SUM(B93:B94)</f>
        <v>61</v>
      </c>
      <c r="C95" s="46">
        <f t="shared" si="32"/>
        <v>45.5</v>
      </c>
      <c r="D95" s="46">
        <f t="shared" si="32"/>
        <v>10</v>
      </c>
      <c r="E95" s="46">
        <f t="shared" si="32"/>
        <v>30</v>
      </c>
      <c r="F95" s="46">
        <f t="shared" si="32"/>
        <v>39</v>
      </c>
      <c r="G95" s="18">
        <f t="shared" si="32"/>
        <v>45</v>
      </c>
      <c r="H95" s="18">
        <f t="shared" si="32"/>
        <v>25</v>
      </c>
      <c r="I95" s="46">
        <f t="shared" si="32"/>
        <v>27</v>
      </c>
      <c r="J95" s="46">
        <f t="shared" si="32"/>
        <v>19</v>
      </c>
      <c r="K95" s="47">
        <f t="shared" si="32"/>
        <v>0</v>
      </c>
      <c r="L95" s="47">
        <f t="shared" si="32"/>
        <v>30</v>
      </c>
      <c r="M95" s="47">
        <f t="shared" si="32"/>
        <v>55</v>
      </c>
      <c r="O95" s="20">
        <f t="shared" si="31"/>
        <v>386.5</v>
      </c>
    </row>
    <row r="96">
      <c r="G96" s="12"/>
      <c r="H96" s="12"/>
      <c r="O96" s="17">
        <f t="shared" si="31"/>
        <v>0</v>
      </c>
    </row>
    <row r="97">
      <c r="A97" s="89">
        <v>46008.0</v>
      </c>
      <c r="B97" s="29"/>
      <c r="C97" s="29"/>
      <c r="D97" s="29"/>
      <c r="E97" s="29"/>
      <c r="F97" s="29"/>
      <c r="G97" s="12"/>
      <c r="H97" s="12"/>
      <c r="I97" s="29"/>
      <c r="J97" s="29"/>
      <c r="K97" s="74"/>
      <c r="L97" s="74"/>
      <c r="O97" s="17">
        <f t="shared" si="31"/>
        <v>0</v>
      </c>
    </row>
    <row r="98">
      <c r="A98" s="30" t="s">
        <v>14</v>
      </c>
      <c r="B98" s="30" t="s">
        <v>29</v>
      </c>
      <c r="C98" s="30" t="s">
        <v>30</v>
      </c>
      <c r="D98" s="30" t="s">
        <v>17</v>
      </c>
      <c r="E98" s="30" t="s">
        <v>31</v>
      </c>
      <c r="F98" s="30" t="s">
        <v>19</v>
      </c>
      <c r="G98" s="13" t="s">
        <v>20</v>
      </c>
      <c r="H98" s="13" t="s">
        <v>21</v>
      </c>
      <c r="I98" s="30" t="s">
        <v>22</v>
      </c>
      <c r="J98" s="30" t="s">
        <v>23</v>
      </c>
      <c r="K98" s="43" t="s">
        <v>24</v>
      </c>
      <c r="L98" s="44" t="s">
        <v>25</v>
      </c>
      <c r="M98" s="75" t="s">
        <v>53</v>
      </c>
      <c r="O98" s="17">
        <f>sum(C98:M98)</f>
        <v>0</v>
      </c>
    </row>
    <row r="99">
      <c r="A99" s="31" t="s">
        <v>26</v>
      </c>
      <c r="B99" s="33">
        <v>29.0</v>
      </c>
      <c r="C99" s="33">
        <v>25.24</v>
      </c>
      <c r="D99" s="33"/>
      <c r="E99" s="33">
        <v>10.0</v>
      </c>
      <c r="F99" s="33">
        <v>14.0</v>
      </c>
      <c r="G99" s="15">
        <v>15.0</v>
      </c>
      <c r="H99" s="15">
        <v>9.0</v>
      </c>
      <c r="I99" s="33">
        <v>14.0</v>
      </c>
      <c r="J99" s="33">
        <v>6.0</v>
      </c>
      <c r="K99" s="73"/>
      <c r="L99" s="73">
        <v>70.0</v>
      </c>
      <c r="M99" s="73">
        <v>65.0</v>
      </c>
      <c r="O99" s="17">
        <f t="shared" ref="O99:O103" si="33">sum(B99:M99)</f>
        <v>257.24</v>
      </c>
    </row>
    <row r="100">
      <c r="A100" s="31" t="s">
        <v>27</v>
      </c>
      <c r="B100" s="33">
        <v>99.0</v>
      </c>
      <c r="C100" s="33">
        <v>15.0</v>
      </c>
      <c r="D100" s="33"/>
      <c r="E100" s="33">
        <v>11.0</v>
      </c>
      <c r="F100" s="33">
        <v>18.0</v>
      </c>
      <c r="G100" s="33">
        <v>25.0</v>
      </c>
      <c r="H100" s="33">
        <v>10.0</v>
      </c>
      <c r="I100" s="33">
        <v>31.0</v>
      </c>
      <c r="J100" s="33">
        <v>11.0</v>
      </c>
      <c r="K100" s="73"/>
      <c r="L100" s="73">
        <v>0.0</v>
      </c>
      <c r="M100" s="73">
        <v>0.0</v>
      </c>
      <c r="O100" s="76">
        <f t="shared" si="33"/>
        <v>220</v>
      </c>
    </row>
    <row r="101">
      <c r="A101" s="34" t="s">
        <v>28</v>
      </c>
      <c r="B101" s="46">
        <f t="shared" ref="B101:M101" si="34">SUM(B99:B100)</f>
        <v>128</v>
      </c>
      <c r="C101" s="46">
        <f t="shared" si="34"/>
        <v>40.24</v>
      </c>
      <c r="D101" s="46">
        <f t="shared" si="34"/>
        <v>0</v>
      </c>
      <c r="E101" s="46">
        <f t="shared" si="34"/>
        <v>21</v>
      </c>
      <c r="F101" s="46">
        <f t="shared" si="34"/>
        <v>32</v>
      </c>
      <c r="G101" s="18">
        <f t="shared" si="34"/>
        <v>40</v>
      </c>
      <c r="H101" s="18">
        <f t="shared" si="34"/>
        <v>19</v>
      </c>
      <c r="I101" s="46">
        <f t="shared" si="34"/>
        <v>45</v>
      </c>
      <c r="J101" s="46">
        <f t="shared" si="34"/>
        <v>17</v>
      </c>
      <c r="K101" s="47">
        <f t="shared" si="34"/>
        <v>0</v>
      </c>
      <c r="L101" s="47">
        <f t="shared" si="34"/>
        <v>70</v>
      </c>
      <c r="M101" s="47">
        <f t="shared" si="34"/>
        <v>65</v>
      </c>
      <c r="O101" s="20">
        <f t="shared" si="33"/>
        <v>477.24</v>
      </c>
    </row>
    <row r="102">
      <c r="G102" s="12"/>
      <c r="H102" s="12"/>
      <c r="O102" s="17">
        <f t="shared" si="33"/>
        <v>0</v>
      </c>
    </row>
    <row r="103">
      <c r="A103" s="89">
        <v>46009.0</v>
      </c>
      <c r="B103" s="29"/>
      <c r="C103" s="29"/>
      <c r="D103" s="29"/>
      <c r="E103" s="29"/>
      <c r="F103" s="29"/>
      <c r="G103" s="12"/>
      <c r="H103" s="12"/>
      <c r="I103" s="29"/>
      <c r="J103" s="29"/>
      <c r="K103" s="74"/>
      <c r="L103" s="74"/>
      <c r="O103" s="17">
        <f t="shared" si="33"/>
        <v>0</v>
      </c>
    </row>
    <row r="104">
      <c r="A104" s="30" t="s">
        <v>14</v>
      </c>
      <c r="B104" s="30" t="s">
        <v>29</v>
      </c>
      <c r="C104" s="30" t="s">
        <v>30</v>
      </c>
      <c r="D104" s="30" t="s">
        <v>17</v>
      </c>
      <c r="E104" s="30" t="s">
        <v>31</v>
      </c>
      <c r="F104" s="30" t="s">
        <v>19</v>
      </c>
      <c r="G104" s="65" t="s">
        <v>20</v>
      </c>
      <c r="H104" s="65" t="s">
        <v>21</v>
      </c>
      <c r="I104" s="30" t="s">
        <v>22</v>
      </c>
      <c r="J104" s="30" t="s">
        <v>23</v>
      </c>
      <c r="K104" s="43" t="s">
        <v>24</v>
      </c>
      <c r="L104" s="44" t="s">
        <v>25</v>
      </c>
      <c r="M104" s="75" t="s">
        <v>53</v>
      </c>
      <c r="O104" s="17">
        <f>sum(C104:M104)</f>
        <v>0</v>
      </c>
    </row>
    <row r="105">
      <c r="A105" s="31" t="s">
        <v>26</v>
      </c>
      <c r="B105" s="33">
        <v>32.0</v>
      </c>
      <c r="C105" s="33">
        <v>23.2</v>
      </c>
      <c r="D105" s="33"/>
      <c r="E105" s="33">
        <v>13.0</v>
      </c>
      <c r="F105" s="33">
        <v>6.0</v>
      </c>
      <c r="G105" s="15">
        <v>14.0</v>
      </c>
      <c r="H105" s="16">
        <v>25.0</v>
      </c>
      <c r="I105" s="33">
        <v>4.0</v>
      </c>
      <c r="J105" s="33">
        <v>7.0</v>
      </c>
      <c r="K105" s="73"/>
      <c r="L105" s="73">
        <v>125.0</v>
      </c>
      <c r="M105" s="73">
        <v>62.0</v>
      </c>
      <c r="O105" s="17">
        <f t="shared" ref="O105:O109" si="35">sum(B105:M105)</f>
        <v>311.2</v>
      </c>
    </row>
    <row r="106">
      <c r="A106" s="31" t="s">
        <v>27</v>
      </c>
      <c r="B106" s="33">
        <v>106.0</v>
      </c>
      <c r="C106" s="33">
        <v>11.1</v>
      </c>
      <c r="D106" s="33">
        <v>28.0</v>
      </c>
      <c r="E106" s="33">
        <v>22.0</v>
      </c>
      <c r="F106" s="33">
        <v>21.0</v>
      </c>
      <c r="G106" s="33">
        <v>25.0</v>
      </c>
      <c r="H106" s="33">
        <v>8.0</v>
      </c>
      <c r="I106" s="33">
        <v>14.0</v>
      </c>
      <c r="J106" s="33">
        <v>11.0</v>
      </c>
      <c r="K106" s="73"/>
      <c r="L106" s="73">
        <v>0.0</v>
      </c>
      <c r="M106" s="73">
        <v>0.0</v>
      </c>
      <c r="O106" s="76">
        <f t="shared" si="35"/>
        <v>246.1</v>
      </c>
    </row>
    <row r="107">
      <c r="A107" s="34" t="s">
        <v>28</v>
      </c>
      <c r="B107" s="46">
        <f t="shared" ref="B107:M107" si="36">SUM(B105:B106)</f>
        <v>138</v>
      </c>
      <c r="C107" s="46">
        <f t="shared" si="36"/>
        <v>34.3</v>
      </c>
      <c r="D107" s="46">
        <f t="shared" si="36"/>
        <v>28</v>
      </c>
      <c r="E107" s="46">
        <f t="shared" si="36"/>
        <v>35</v>
      </c>
      <c r="F107" s="46">
        <f t="shared" si="36"/>
        <v>27</v>
      </c>
      <c r="G107" s="18">
        <f t="shared" si="36"/>
        <v>39</v>
      </c>
      <c r="H107" s="18">
        <f t="shared" si="36"/>
        <v>33</v>
      </c>
      <c r="I107" s="46">
        <f t="shared" si="36"/>
        <v>18</v>
      </c>
      <c r="J107" s="46">
        <f t="shared" si="36"/>
        <v>18</v>
      </c>
      <c r="K107" s="47">
        <f t="shared" si="36"/>
        <v>0</v>
      </c>
      <c r="L107" s="47">
        <f t="shared" si="36"/>
        <v>125</v>
      </c>
      <c r="M107" s="47">
        <f t="shared" si="36"/>
        <v>62</v>
      </c>
      <c r="O107" s="20">
        <f t="shared" si="35"/>
        <v>557.3</v>
      </c>
    </row>
    <row r="108">
      <c r="G108" s="12"/>
      <c r="H108" s="12"/>
      <c r="O108" s="17">
        <f t="shared" si="35"/>
        <v>0</v>
      </c>
    </row>
    <row r="109">
      <c r="A109" s="89">
        <v>46010.0</v>
      </c>
      <c r="B109" s="29"/>
      <c r="C109" s="29"/>
      <c r="D109" s="29"/>
      <c r="E109" s="29"/>
      <c r="F109" s="29"/>
      <c r="G109" s="12"/>
      <c r="H109" s="12"/>
      <c r="I109" s="29"/>
      <c r="J109" s="29"/>
      <c r="K109" s="74"/>
      <c r="L109" s="74"/>
      <c r="O109" s="17">
        <f t="shared" si="35"/>
        <v>0</v>
      </c>
    </row>
    <row r="110">
      <c r="A110" s="30" t="s">
        <v>14</v>
      </c>
      <c r="B110" s="30" t="s">
        <v>29</v>
      </c>
      <c r="C110" s="30" t="s">
        <v>30</v>
      </c>
      <c r="D110" s="30" t="s">
        <v>17</v>
      </c>
      <c r="E110" s="30" t="s">
        <v>31</v>
      </c>
      <c r="F110" s="30" t="s">
        <v>19</v>
      </c>
      <c r="G110" s="13" t="s">
        <v>20</v>
      </c>
      <c r="H110" s="13" t="s">
        <v>21</v>
      </c>
      <c r="I110" s="30" t="s">
        <v>22</v>
      </c>
      <c r="J110" s="30" t="s">
        <v>23</v>
      </c>
      <c r="K110" s="43" t="s">
        <v>24</v>
      </c>
      <c r="L110" s="44" t="s">
        <v>25</v>
      </c>
      <c r="M110" s="75" t="s">
        <v>53</v>
      </c>
      <c r="O110" s="17">
        <f>sum(C110:M110)</f>
        <v>0</v>
      </c>
    </row>
    <row r="111">
      <c r="A111" s="31" t="s">
        <v>26</v>
      </c>
      <c r="B111" s="33">
        <v>37.0</v>
      </c>
      <c r="C111" s="33">
        <v>26.2</v>
      </c>
      <c r="D111" s="33"/>
      <c r="E111" s="33">
        <v>12.0</v>
      </c>
      <c r="F111" s="33">
        <v>5.0</v>
      </c>
      <c r="G111" s="15">
        <v>14.0</v>
      </c>
      <c r="H111" s="16">
        <v>25.0</v>
      </c>
      <c r="I111" s="33">
        <v>7.0</v>
      </c>
      <c r="J111" s="33">
        <v>11.0</v>
      </c>
      <c r="K111" s="16">
        <v>0.0</v>
      </c>
      <c r="L111" s="73">
        <v>90.0</v>
      </c>
      <c r="M111" s="73">
        <v>30.0</v>
      </c>
      <c r="O111" s="17">
        <f t="shared" ref="O111:O115" si="37">sum(B111:M111)</f>
        <v>257.2</v>
      </c>
    </row>
    <row r="112">
      <c r="A112" s="31" t="s">
        <v>27</v>
      </c>
      <c r="B112" s="33">
        <v>58.0</v>
      </c>
      <c r="C112" s="33">
        <v>13.1</v>
      </c>
      <c r="D112" s="33"/>
      <c r="E112" s="33">
        <v>28.0</v>
      </c>
      <c r="F112" s="33">
        <v>23.0</v>
      </c>
      <c r="G112" s="33">
        <v>25.0</v>
      </c>
      <c r="H112" s="33">
        <v>10.0</v>
      </c>
      <c r="I112" s="33">
        <v>21.0</v>
      </c>
      <c r="J112" s="33">
        <v>11.0</v>
      </c>
      <c r="K112" s="16">
        <v>0.0</v>
      </c>
      <c r="L112" s="73">
        <v>0.0</v>
      </c>
      <c r="M112" s="73">
        <v>0.0</v>
      </c>
      <c r="O112" s="76">
        <f t="shared" si="37"/>
        <v>189.1</v>
      </c>
    </row>
    <row r="113">
      <c r="A113" s="34" t="s">
        <v>28</v>
      </c>
      <c r="B113" s="46">
        <f t="shared" ref="B113:M113" si="38">SUM(B111:B112)</f>
        <v>95</v>
      </c>
      <c r="C113" s="46">
        <f t="shared" si="38"/>
        <v>39.3</v>
      </c>
      <c r="D113" s="46">
        <f t="shared" si="38"/>
        <v>0</v>
      </c>
      <c r="E113" s="46">
        <f t="shared" si="38"/>
        <v>40</v>
      </c>
      <c r="F113" s="46">
        <f t="shared" si="38"/>
        <v>28</v>
      </c>
      <c r="G113" s="18">
        <f t="shared" si="38"/>
        <v>39</v>
      </c>
      <c r="H113" s="18">
        <f t="shared" si="38"/>
        <v>35</v>
      </c>
      <c r="I113" s="46">
        <f t="shared" si="38"/>
        <v>28</v>
      </c>
      <c r="J113" s="46">
        <f t="shared" si="38"/>
        <v>22</v>
      </c>
      <c r="K113" s="47">
        <f t="shared" si="38"/>
        <v>0</v>
      </c>
      <c r="L113" s="47">
        <f t="shared" si="38"/>
        <v>90</v>
      </c>
      <c r="M113" s="47">
        <f t="shared" si="38"/>
        <v>30</v>
      </c>
      <c r="O113" s="20">
        <f t="shared" si="37"/>
        <v>446.3</v>
      </c>
    </row>
    <row r="114">
      <c r="G114" s="12"/>
      <c r="H114" s="12"/>
      <c r="O114" s="17">
        <f t="shared" si="37"/>
        <v>0</v>
      </c>
    </row>
    <row r="115">
      <c r="A115" s="89">
        <v>46011.0</v>
      </c>
      <c r="B115" s="29"/>
      <c r="C115" s="29"/>
      <c r="D115" s="29"/>
      <c r="E115" s="29"/>
      <c r="F115" s="29"/>
      <c r="G115" s="12"/>
      <c r="H115" s="12"/>
      <c r="I115" s="29"/>
      <c r="J115" s="29"/>
      <c r="K115" s="74"/>
      <c r="L115" s="74"/>
      <c r="O115" s="17">
        <f t="shared" si="37"/>
        <v>0</v>
      </c>
    </row>
    <row r="116">
      <c r="A116" s="30" t="s">
        <v>14</v>
      </c>
      <c r="B116" s="30" t="s">
        <v>29</v>
      </c>
      <c r="C116" s="30" t="s">
        <v>30</v>
      </c>
      <c r="D116" s="30" t="s">
        <v>17</v>
      </c>
      <c r="E116" s="30" t="s">
        <v>31</v>
      </c>
      <c r="F116" s="30" t="s">
        <v>19</v>
      </c>
      <c r="G116" s="13" t="s">
        <v>20</v>
      </c>
      <c r="H116" s="13" t="s">
        <v>21</v>
      </c>
      <c r="I116" s="30" t="s">
        <v>22</v>
      </c>
      <c r="J116" s="30" t="s">
        <v>23</v>
      </c>
      <c r="K116" s="43" t="s">
        <v>24</v>
      </c>
      <c r="L116" s="44" t="s">
        <v>25</v>
      </c>
      <c r="M116" s="75" t="s">
        <v>53</v>
      </c>
      <c r="O116" s="17">
        <f>sum(C116:M116)</f>
        <v>0</v>
      </c>
    </row>
    <row r="117">
      <c r="A117" s="31" t="s">
        <v>26</v>
      </c>
      <c r="B117" s="33">
        <v>31.0</v>
      </c>
      <c r="C117" s="33"/>
      <c r="D117" s="33"/>
      <c r="E117" s="33">
        <v>10.0</v>
      </c>
      <c r="F117" s="33">
        <v>8.0</v>
      </c>
      <c r="G117" s="15">
        <v>16.0</v>
      </c>
      <c r="H117" s="16">
        <v>29.0</v>
      </c>
      <c r="I117" s="33">
        <v>12.0</v>
      </c>
      <c r="J117" s="33">
        <v>9.0</v>
      </c>
      <c r="K117" s="16">
        <v>0.0</v>
      </c>
      <c r="L117" s="73">
        <v>0.0</v>
      </c>
      <c r="M117" s="73">
        <v>0.0</v>
      </c>
      <c r="O117" s="17">
        <f t="shared" ref="O117:O121" si="39">sum(B117:M117)</f>
        <v>115</v>
      </c>
    </row>
    <row r="118">
      <c r="A118" s="31" t="s">
        <v>27</v>
      </c>
      <c r="B118" s="33">
        <v>102.0</v>
      </c>
      <c r="C118" s="33"/>
      <c r="D118" s="33"/>
      <c r="E118" s="33">
        <v>38.0</v>
      </c>
      <c r="F118" s="33">
        <v>22.0</v>
      </c>
      <c r="G118" s="33">
        <v>26.0</v>
      </c>
      <c r="H118" s="33">
        <v>15.0</v>
      </c>
      <c r="I118" s="33">
        <v>19.0</v>
      </c>
      <c r="J118" s="33">
        <v>12.0</v>
      </c>
      <c r="K118" s="16">
        <v>0.0</v>
      </c>
      <c r="L118" s="73">
        <v>0.0</v>
      </c>
      <c r="M118" s="73"/>
      <c r="O118" s="76">
        <f t="shared" si="39"/>
        <v>234</v>
      </c>
    </row>
    <row r="119">
      <c r="A119" s="34" t="s">
        <v>28</v>
      </c>
      <c r="B119" s="46">
        <f t="shared" ref="B119:M119" si="40">SUM(B117:B118)</f>
        <v>133</v>
      </c>
      <c r="C119" s="46">
        <f t="shared" si="40"/>
        <v>0</v>
      </c>
      <c r="D119" s="46">
        <f t="shared" si="40"/>
        <v>0</v>
      </c>
      <c r="E119" s="46">
        <f t="shared" si="40"/>
        <v>48</v>
      </c>
      <c r="F119" s="46">
        <f t="shared" si="40"/>
        <v>30</v>
      </c>
      <c r="G119" s="18">
        <f t="shared" si="40"/>
        <v>42</v>
      </c>
      <c r="H119" s="18">
        <f t="shared" si="40"/>
        <v>44</v>
      </c>
      <c r="I119" s="46">
        <f t="shared" si="40"/>
        <v>31</v>
      </c>
      <c r="J119" s="46">
        <f t="shared" si="40"/>
        <v>21</v>
      </c>
      <c r="K119" s="47">
        <f t="shared" si="40"/>
        <v>0</v>
      </c>
      <c r="L119" s="47">
        <f t="shared" si="40"/>
        <v>0</v>
      </c>
      <c r="M119" s="47">
        <f t="shared" si="40"/>
        <v>0</v>
      </c>
      <c r="O119" s="20">
        <f t="shared" si="39"/>
        <v>349</v>
      </c>
    </row>
    <row r="120">
      <c r="G120" s="12"/>
      <c r="H120" s="12"/>
      <c r="O120" s="17">
        <f t="shared" si="39"/>
        <v>0</v>
      </c>
    </row>
    <row r="121">
      <c r="A121" s="89">
        <v>46012.0</v>
      </c>
      <c r="B121" s="29"/>
      <c r="C121" s="29"/>
      <c r="D121" s="29"/>
      <c r="E121" s="29"/>
      <c r="F121" s="29"/>
      <c r="G121" s="12"/>
      <c r="H121" s="12"/>
      <c r="I121" s="29"/>
      <c r="J121" s="29"/>
      <c r="K121" s="74"/>
      <c r="L121" s="74"/>
      <c r="O121" s="17">
        <f t="shared" si="39"/>
        <v>0</v>
      </c>
    </row>
    <row r="122">
      <c r="A122" s="30" t="s">
        <v>14</v>
      </c>
      <c r="B122" s="30" t="s">
        <v>29</v>
      </c>
      <c r="C122" s="30" t="s">
        <v>30</v>
      </c>
      <c r="D122" s="30" t="s">
        <v>17</v>
      </c>
      <c r="E122" s="30" t="s">
        <v>31</v>
      </c>
      <c r="F122" s="30" t="s">
        <v>19</v>
      </c>
      <c r="G122" s="13" t="s">
        <v>20</v>
      </c>
      <c r="H122" s="13" t="s">
        <v>21</v>
      </c>
      <c r="I122" s="30" t="s">
        <v>22</v>
      </c>
      <c r="J122" s="30" t="s">
        <v>23</v>
      </c>
      <c r="K122" s="43" t="s">
        <v>24</v>
      </c>
      <c r="L122" s="44" t="s">
        <v>25</v>
      </c>
      <c r="M122" s="75" t="s">
        <v>53</v>
      </c>
      <c r="O122" s="17">
        <f>sum(C122:M122)</f>
        <v>0</v>
      </c>
    </row>
    <row r="123">
      <c r="A123" s="31" t="s">
        <v>26</v>
      </c>
      <c r="B123" s="33">
        <v>36.0</v>
      </c>
      <c r="C123" s="33">
        <v>38.0</v>
      </c>
      <c r="D123" s="33">
        <v>0.0</v>
      </c>
      <c r="E123" s="33">
        <v>14.0</v>
      </c>
      <c r="F123" s="33">
        <v>6.0</v>
      </c>
      <c r="G123" s="16">
        <v>14.0</v>
      </c>
      <c r="H123" s="16">
        <v>25.0</v>
      </c>
      <c r="I123" s="33">
        <v>12.0</v>
      </c>
      <c r="J123" s="33">
        <v>8.0</v>
      </c>
      <c r="K123" s="16">
        <v>0.0</v>
      </c>
      <c r="L123" s="73">
        <v>85.0</v>
      </c>
      <c r="M123" s="73">
        <v>40.0</v>
      </c>
      <c r="O123" s="17">
        <f t="shared" ref="O123:O127" si="41">sum(B123:M123)</f>
        <v>278</v>
      </c>
    </row>
    <row r="124">
      <c r="A124" s="31" t="s">
        <v>27</v>
      </c>
      <c r="B124" s="33">
        <v>74.0</v>
      </c>
      <c r="C124" s="33">
        <v>20.0</v>
      </c>
      <c r="D124" s="33">
        <v>0.0</v>
      </c>
      <c r="E124" s="33">
        <v>23.0</v>
      </c>
      <c r="F124" s="33">
        <v>17.0</v>
      </c>
      <c r="G124" s="16">
        <v>25.0</v>
      </c>
      <c r="H124" s="16">
        <v>7.0</v>
      </c>
      <c r="I124" s="33">
        <v>26.0</v>
      </c>
      <c r="J124" s="33">
        <v>22.0</v>
      </c>
      <c r="K124" s="16">
        <v>0.0</v>
      </c>
      <c r="L124" s="73">
        <v>0.0</v>
      </c>
      <c r="M124" s="73">
        <v>0.0</v>
      </c>
      <c r="O124" s="76">
        <f t="shared" si="41"/>
        <v>214</v>
      </c>
    </row>
    <row r="125">
      <c r="A125" s="34" t="s">
        <v>28</v>
      </c>
      <c r="B125" s="46">
        <f t="shared" ref="B125:M125" si="42">SUM(B123:B124)</f>
        <v>110</v>
      </c>
      <c r="C125" s="46">
        <f t="shared" si="42"/>
        <v>58</v>
      </c>
      <c r="D125" s="46">
        <f t="shared" si="42"/>
        <v>0</v>
      </c>
      <c r="E125" s="46">
        <f t="shared" si="42"/>
        <v>37</v>
      </c>
      <c r="F125" s="46">
        <f t="shared" si="42"/>
        <v>23</v>
      </c>
      <c r="G125" s="18">
        <f t="shared" si="42"/>
        <v>39</v>
      </c>
      <c r="H125" s="18">
        <f t="shared" si="42"/>
        <v>32</v>
      </c>
      <c r="I125" s="46">
        <f t="shared" si="42"/>
        <v>38</v>
      </c>
      <c r="J125" s="46">
        <f t="shared" si="42"/>
        <v>30</v>
      </c>
      <c r="K125" s="47">
        <f t="shared" si="42"/>
        <v>0</v>
      </c>
      <c r="L125" s="47">
        <f t="shared" si="42"/>
        <v>85</v>
      </c>
      <c r="M125" s="47">
        <f t="shared" si="42"/>
        <v>40</v>
      </c>
      <c r="O125" s="20">
        <f t="shared" si="41"/>
        <v>492</v>
      </c>
    </row>
    <row r="126">
      <c r="G126" s="12"/>
      <c r="H126" s="12"/>
      <c r="O126" s="17">
        <f t="shared" si="41"/>
        <v>0</v>
      </c>
    </row>
    <row r="127">
      <c r="A127" s="89">
        <v>46013.0</v>
      </c>
      <c r="B127" s="29"/>
      <c r="C127" s="29"/>
      <c r="D127" s="29"/>
      <c r="E127" s="29"/>
      <c r="F127" s="29"/>
      <c r="G127" s="12"/>
      <c r="H127" s="12"/>
      <c r="I127" s="29"/>
      <c r="J127" s="29"/>
      <c r="K127" s="74"/>
      <c r="L127" s="74"/>
      <c r="O127" s="17">
        <f t="shared" si="41"/>
        <v>0</v>
      </c>
    </row>
    <row r="128">
      <c r="A128" s="30" t="s">
        <v>14</v>
      </c>
      <c r="B128" s="30" t="s">
        <v>29</v>
      </c>
      <c r="C128" s="30" t="s">
        <v>30</v>
      </c>
      <c r="D128" s="30" t="s">
        <v>17</v>
      </c>
      <c r="E128" s="30" t="s">
        <v>31</v>
      </c>
      <c r="F128" s="30" t="s">
        <v>19</v>
      </c>
      <c r="G128" s="13" t="s">
        <v>20</v>
      </c>
      <c r="H128" s="13" t="s">
        <v>21</v>
      </c>
      <c r="I128" s="30" t="s">
        <v>22</v>
      </c>
      <c r="J128" s="30" t="s">
        <v>23</v>
      </c>
      <c r="K128" s="43" t="s">
        <v>24</v>
      </c>
      <c r="L128" s="44" t="s">
        <v>25</v>
      </c>
      <c r="M128" s="75" t="s">
        <v>53</v>
      </c>
      <c r="O128" s="17">
        <f>sum(C128:M128)</f>
        <v>0</v>
      </c>
    </row>
    <row r="129">
      <c r="A129" s="31" t="s">
        <v>26</v>
      </c>
      <c r="B129" s="33">
        <v>47.0</v>
      </c>
      <c r="C129" s="33">
        <v>29.0</v>
      </c>
      <c r="D129" s="33">
        <v>0.0</v>
      </c>
      <c r="E129" s="33">
        <v>12.0</v>
      </c>
      <c r="F129" s="33">
        <v>17.0</v>
      </c>
      <c r="G129" s="15">
        <v>15.0</v>
      </c>
      <c r="H129" s="16">
        <v>25.0</v>
      </c>
      <c r="I129" s="33">
        <v>12.0</v>
      </c>
      <c r="J129" s="33">
        <v>12.0</v>
      </c>
      <c r="K129" s="16">
        <v>0.0</v>
      </c>
      <c r="L129" s="73">
        <v>120.0</v>
      </c>
      <c r="M129" s="73">
        <v>69.0</v>
      </c>
      <c r="O129" s="17">
        <f t="shared" ref="O129:O133" si="43">sum(B129:M129)</f>
        <v>358</v>
      </c>
    </row>
    <row r="130">
      <c r="A130" s="31" t="s">
        <v>27</v>
      </c>
      <c r="B130" s="33">
        <v>76.0</v>
      </c>
      <c r="C130" s="33">
        <v>11.0</v>
      </c>
      <c r="D130" s="33">
        <v>0.0</v>
      </c>
      <c r="E130" s="33">
        <v>19.0</v>
      </c>
      <c r="F130" s="33">
        <v>22.0</v>
      </c>
      <c r="G130" s="16">
        <v>25.0</v>
      </c>
      <c r="H130" s="16">
        <v>12.0</v>
      </c>
      <c r="I130" s="33">
        <v>13.0</v>
      </c>
      <c r="J130" s="33">
        <v>16.0</v>
      </c>
      <c r="K130" s="16">
        <v>0.0</v>
      </c>
      <c r="L130" s="73">
        <v>0.0</v>
      </c>
      <c r="M130" s="73">
        <v>0.0</v>
      </c>
      <c r="O130" s="76">
        <f t="shared" si="43"/>
        <v>194</v>
      </c>
    </row>
    <row r="131">
      <c r="A131" s="34" t="s">
        <v>28</v>
      </c>
      <c r="B131" s="46">
        <f t="shared" ref="B131:M131" si="44">SUM(B129:B130)</f>
        <v>123</v>
      </c>
      <c r="C131" s="46">
        <f t="shared" si="44"/>
        <v>40</v>
      </c>
      <c r="D131" s="46">
        <f t="shared" si="44"/>
        <v>0</v>
      </c>
      <c r="E131" s="46">
        <f t="shared" si="44"/>
        <v>31</v>
      </c>
      <c r="F131" s="46">
        <f t="shared" si="44"/>
        <v>39</v>
      </c>
      <c r="G131" s="18">
        <f t="shared" si="44"/>
        <v>40</v>
      </c>
      <c r="H131" s="18">
        <f t="shared" si="44"/>
        <v>37</v>
      </c>
      <c r="I131" s="46">
        <f t="shared" si="44"/>
        <v>25</v>
      </c>
      <c r="J131" s="46">
        <f t="shared" si="44"/>
        <v>28</v>
      </c>
      <c r="K131" s="47">
        <f t="shared" si="44"/>
        <v>0</v>
      </c>
      <c r="L131" s="47">
        <f t="shared" si="44"/>
        <v>120</v>
      </c>
      <c r="M131" s="47">
        <f t="shared" si="44"/>
        <v>69</v>
      </c>
      <c r="O131" s="20">
        <f t="shared" si="43"/>
        <v>552</v>
      </c>
    </row>
    <row r="132">
      <c r="O132" s="17">
        <f t="shared" si="43"/>
        <v>0</v>
      </c>
    </row>
    <row r="133">
      <c r="A133" s="89">
        <v>46014.0</v>
      </c>
      <c r="B133" s="29"/>
      <c r="C133" s="29"/>
      <c r="D133" s="29"/>
      <c r="E133" s="29"/>
      <c r="F133" s="29"/>
      <c r="G133" s="12"/>
      <c r="H133" s="12"/>
      <c r="I133" s="29"/>
      <c r="J133" s="29"/>
      <c r="K133" s="74"/>
      <c r="L133" s="74"/>
      <c r="O133" s="17">
        <f t="shared" si="43"/>
        <v>0</v>
      </c>
    </row>
    <row r="134">
      <c r="A134" s="30" t="s">
        <v>14</v>
      </c>
      <c r="B134" s="30" t="s">
        <v>29</v>
      </c>
      <c r="C134" s="30" t="s">
        <v>30</v>
      </c>
      <c r="D134" s="30" t="s">
        <v>17</v>
      </c>
      <c r="E134" s="30" t="s">
        <v>31</v>
      </c>
      <c r="F134" s="30" t="s">
        <v>19</v>
      </c>
      <c r="G134" s="13" t="s">
        <v>20</v>
      </c>
      <c r="H134" s="13" t="s">
        <v>21</v>
      </c>
      <c r="I134" s="30" t="s">
        <v>22</v>
      </c>
      <c r="J134" s="30" t="s">
        <v>23</v>
      </c>
      <c r="K134" s="43" t="s">
        <v>24</v>
      </c>
      <c r="L134" s="44" t="s">
        <v>25</v>
      </c>
      <c r="M134" s="75" t="s">
        <v>53</v>
      </c>
      <c r="O134" s="17">
        <f>sum(C134:M134)</f>
        <v>0</v>
      </c>
    </row>
    <row r="135">
      <c r="A135" s="31" t="s">
        <v>26</v>
      </c>
      <c r="B135" s="33">
        <v>37.0</v>
      </c>
      <c r="C135" s="33">
        <v>21.0</v>
      </c>
      <c r="D135" s="33">
        <v>50.0</v>
      </c>
      <c r="E135" s="33">
        <v>14.0</v>
      </c>
      <c r="F135" s="33">
        <v>7.0</v>
      </c>
      <c r="G135" s="16">
        <v>15.0</v>
      </c>
      <c r="H135" s="16">
        <v>27.0</v>
      </c>
      <c r="I135" s="33">
        <v>12.0</v>
      </c>
      <c r="J135" s="33">
        <v>10.0</v>
      </c>
      <c r="K135" s="73"/>
      <c r="L135" s="73">
        <v>25.0</v>
      </c>
      <c r="M135" s="73">
        <v>46.0</v>
      </c>
      <c r="O135" s="17">
        <f t="shared" ref="O135:O139" si="45">sum(B135:M135)</f>
        <v>264</v>
      </c>
    </row>
    <row r="136">
      <c r="A136" s="31" t="s">
        <v>27</v>
      </c>
      <c r="B136" s="33">
        <v>26.0</v>
      </c>
      <c r="C136" s="33">
        <v>17.1</v>
      </c>
      <c r="D136" s="33">
        <v>1.0</v>
      </c>
      <c r="E136" s="33">
        <v>34.0</v>
      </c>
      <c r="F136" s="33">
        <v>14.0</v>
      </c>
      <c r="G136" s="16">
        <v>27.0</v>
      </c>
      <c r="H136" s="16">
        <v>8.0</v>
      </c>
      <c r="I136" s="33">
        <v>14.0</v>
      </c>
      <c r="J136" s="33">
        <v>18.0</v>
      </c>
      <c r="K136" s="73"/>
      <c r="L136" s="73">
        <v>0.0</v>
      </c>
      <c r="M136" s="73">
        <v>0.0</v>
      </c>
      <c r="O136" s="76">
        <f t="shared" si="45"/>
        <v>159.1</v>
      </c>
    </row>
    <row r="137">
      <c r="A137" s="34" t="s">
        <v>28</v>
      </c>
      <c r="B137" s="46">
        <f t="shared" ref="B137:M137" si="46">SUM(B135:B136)</f>
        <v>63</v>
      </c>
      <c r="C137" s="46">
        <f t="shared" si="46"/>
        <v>38.1</v>
      </c>
      <c r="D137" s="46">
        <f t="shared" si="46"/>
        <v>51</v>
      </c>
      <c r="E137" s="46">
        <f t="shared" si="46"/>
        <v>48</v>
      </c>
      <c r="F137" s="46">
        <f t="shared" si="46"/>
        <v>21</v>
      </c>
      <c r="G137" s="18">
        <f t="shared" si="46"/>
        <v>42</v>
      </c>
      <c r="H137" s="18">
        <f t="shared" si="46"/>
        <v>35</v>
      </c>
      <c r="I137" s="46">
        <f t="shared" si="46"/>
        <v>26</v>
      </c>
      <c r="J137" s="46">
        <f t="shared" si="46"/>
        <v>28</v>
      </c>
      <c r="K137" s="47">
        <f t="shared" si="46"/>
        <v>0</v>
      </c>
      <c r="L137" s="47">
        <f t="shared" si="46"/>
        <v>25</v>
      </c>
      <c r="M137" s="47">
        <f t="shared" si="46"/>
        <v>46</v>
      </c>
      <c r="O137" s="20">
        <f t="shared" si="45"/>
        <v>423.1</v>
      </c>
    </row>
    <row r="138">
      <c r="O138" s="17">
        <f t="shared" si="45"/>
        <v>0</v>
      </c>
    </row>
    <row r="139">
      <c r="A139" s="89">
        <v>46015.0</v>
      </c>
      <c r="B139" s="29"/>
      <c r="C139" s="29"/>
      <c r="D139" s="29"/>
      <c r="E139" s="29"/>
      <c r="F139" s="29"/>
      <c r="G139" s="12"/>
      <c r="H139" s="12"/>
      <c r="I139" s="29"/>
      <c r="J139" s="29"/>
      <c r="K139" s="74"/>
      <c r="L139" s="74"/>
      <c r="O139" s="17">
        <f t="shared" si="45"/>
        <v>0</v>
      </c>
    </row>
    <row r="140">
      <c r="A140" s="30" t="s">
        <v>14</v>
      </c>
      <c r="B140" s="30" t="s">
        <v>29</v>
      </c>
      <c r="C140" s="30" t="s">
        <v>30</v>
      </c>
      <c r="D140" s="30" t="s">
        <v>17</v>
      </c>
      <c r="E140" s="30" t="s">
        <v>31</v>
      </c>
      <c r="F140" s="30" t="s">
        <v>19</v>
      </c>
      <c r="G140" s="13" t="s">
        <v>20</v>
      </c>
      <c r="H140" s="13" t="s">
        <v>21</v>
      </c>
      <c r="I140" s="30" t="s">
        <v>22</v>
      </c>
      <c r="J140" s="30" t="s">
        <v>23</v>
      </c>
      <c r="K140" s="43" t="s">
        <v>24</v>
      </c>
      <c r="L140" s="44" t="s">
        <v>25</v>
      </c>
      <c r="M140" s="75" t="s">
        <v>53</v>
      </c>
      <c r="O140" s="17">
        <f>sum(C140:M140)</f>
        <v>0</v>
      </c>
    </row>
    <row r="141">
      <c r="A141" s="31" t="s">
        <v>26</v>
      </c>
      <c r="B141" s="33">
        <v>26.0</v>
      </c>
      <c r="C141" s="33">
        <v>26.1</v>
      </c>
      <c r="D141" s="33"/>
      <c r="E141" s="33">
        <v>13.0</v>
      </c>
      <c r="F141" s="33">
        <v>8.0</v>
      </c>
      <c r="G141" s="16">
        <v>10.0</v>
      </c>
      <c r="H141" s="16">
        <v>18.0</v>
      </c>
      <c r="I141" s="33">
        <v>10.0</v>
      </c>
      <c r="J141" s="16">
        <v>0.0</v>
      </c>
      <c r="K141" s="16">
        <v>0.0</v>
      </c>
      <c r="L141" s="16">
        <v>0.0</v>
      </c>
      <c r="M141" s="73">
        <v>32.0</v>
      </c>
      <c r="O141" s="17">
        <f t="shared" ref="O141:O145" si="47">sum(B141:M141)</f>
        <v>143.1</v>
      </c>
    </row>
    <row r="142">
      <c r="A142" s="31" t="s">
        <v>27</v>
      </c>
      <c r="B142" s="33">
        <v>58.0</v>
      </c>
      <c r="C142" s="33">
        <v>19.0</v>
      </c>
      <c r="D142" s="33"/>
      <c r="E142" s="33">
        <v>28.0</v>
      </c>
      <c r="F142" s="33">
        <v>12.0</v>
      </c>
      <c r="G142" s="16">
        <v>19.0</v>
      </c>
      <c r="H142" s="16">
        <v>10.0</v>
      </c>
      <c r="I142" s="33">
        <v>14.0</v>
      </c>
      <c r="J142" s="16">
        <v>0.0</v>
      </c>
      <c r="K142" s="16">
        <v>0.0</v>
      </c>
      <c r="L142" s="16">
        <v>0.0</v>
      </c>
      <c r="M142" s="73">
        <v>0.0</v>
      </c>
      <c r="O142" s="76">
        <f t="shared" si="47"/>
        <v>160</v>
      </c>
    </row>
    <row r="143">
      <c r="A143" s="34" t="s">
        <v>28</v>
      </c>
      <c r="B143" s="46">
        <f t="shared" ref="B143:M143" si="48">SUM(B141:B142)</f>
        <v>84</v>
      </c>
      <c r="C143" s="46">
        <f t="shared" si="48"/>
        <v>45.1</v>
      </c>
      <c r="D143" s="46">
        <f t="shared" si="48"/>
        <v>0</v>
      </c>
      <c r="E143" s="46">
        <f t="shared" si="48"/>
        <v>41</v>
      </c>
      <c r="F143" s="46">
        <f t="shared" si="48"/>
        <v>20</v>
      </c>
      <c r="G143" s="18">
        <f t="shared" si="48"/>
        <v>29</v>
      </c>
      <c r="H143" s="18">
        <f t="shared" si="48"/>
        <v>28</v>
      </c>
      <c r="I143" s="46">
        <f t="shared" si="48"/>
        <v>24</v>
      </c>
      <c r="J143" s="46">
        <f t="shared" si="48"/>
        <v>0</v>
      </c>
      <c r="K143" s="47">
        <f t="shared" si="48"/>
        <v>0</v>
      </c>
      <c r="L143" s="47">
        <f t="shared" si="48"/>
        <v>0</v>
      </c>
      <c r="M143" s="47">
        <f t="shared" si="48"/>
        <v>32</v>
      </c>
      <c r="O143" s="20">
        <f t="shared" si="47"/>
        <v>303.1</v>
      </c>
    </row>
    <row r="144">
      <c r="O144" s="17">
        <f t="shared" si="47"/>
        <v>0</v>
      </c>
    </row>
    <row r="145">
      <c r="A145" s="89">
        <v>46016.0</v>
      </c>
      <c r="B145" s="29"/>
      <c r="C145" s="29"/>
      <c r="D145" s="29"/>
      <c r="E145" s="29"/>
      <c r="F145" s="29"/>
      <c r="G145" s="12"/>
      <c r="H145" s="12"/>
      <c r="I145" s="29"/>
      <c r="J145" s="29"/>
      <c r="K145" s="74"/>
      <c r="L145" s="74"/>
      <c r="O145" s="17">
        <f t="shared" si="47"/>
        <v>0</v>
      </c>
    </row>
    <row r="146">
      <c r="A146" s="30" t="s">
        <v>14</v>
      </c>
      <c r="B146" s="30" t="s">
        <v>29</v>
      </c>
      <c r="C146" s="30" t="s">
        <v>30</v>
      </c>
      <c r="D146" s="30" t="s">
        <v>17</v>
      </c>
      <c r="E146" s="30" t="s">
        <v>31</v>
      </c>
      <c r="F146" s="30" t="s">
        <v>19</v>
      </c>
      <c r="G146" s="13" t="s">
        <v>20</v>
      </c>
      <c r="H146" s="13" t="s">
        <v>21</v>
      </c>
      <c r="I146" s="30" t="s">
        <v>22</v>
      </c>
      <c r="J146" s="30" t="s">
        <v>23</v>
      </c>
      <c r="K146" s="43" t="s">
        <v>24</v>
      </c>
      <c r="L146" s="44" t="s">
        <v>25</v>
      </c>
      <c r="M146" s="75" t="s">
        <v>53</v>
      </c>
      <c r="O146" s="17">
        <f>sum(C146:M146)</f>
        <v>0</v>
      </c>
    </row>
    <row r="147">
      <c r="A147" s="31" t="s">
        <v>26</v>
      </c>
      <c r="B147" s="33">
        <v>16.0</v>
      </c>
      <c r="C147" s="33">
        <v>21.0</v>
      </c>
      <c r="D147" s="33">
        <v>0.0</v>
      </c>
      <c r="E147" s="33">
        <v>0.0</v>
      </c>
      <c r="F147" s="33">
        <v>0.0</v>
      </c>
      <c r="G147" s="16">
        <v>0.0</v>
      </c>
      <c r="H147" s="16">
        <v>0.0</v>
      </c>
      <c r="I147" s="16">
        <v>0.0</v>
      </c>
      <c r="J147" s="16">
        <v>0.0</v>
      </c>
      <c r="K147" s="16">
        <v>0.0</v>
      </c>
      <c r="L147" s="16">
        <v>0.0</v>
      </c>
      <c r="M147" s="16">
        <v>0.0</v>
      </c>
      <c r="O147" s="17">
        <f t="shared" ref="O147:O151" si="49">sum(B147:M147)</f>
        <v>37</v>
      </c>
    </row>
    <row r="148">
      <c r="A148" s="31" t="s">
        <v>27</v>
      </c>
      <c r="B148" s="33">
        <v>21.0</v>
      </c>
      <c r="C148" s="33">
        <v>12.0</v>
      </c>
      <c r="D148" s="33">
        <v>0.0</v>
      </c>
      <c r="E148" s="33">
        <v>0.0</v>
      </c>
      <c r="F148" s="33">
        <v>0.0</v>
      </c>
      <c r="G148" s="16">
        <v>0.0</v>
      </c>
      <c r="H148" s="16">
        <v>0.0</v>
      </c>
      <c r="I148" s="16">
        <v>0.0</v>
      </c>
      <c r="J148" s="16">
        <v>0.0</v>
      </c>
      <c r="K148" s="16">
        <v>0.0</v>
      </c>
      <c r="L148" s="16">
        <v>0.0</v>
      </c>
      <c r="M148" s="16">
        <v>0.0</v>
      </c>
      <c r="O148" s="76">
        <f t="shared" si="49"/>
        <v>33</v>
      </c>
    </row>
    <row r="149">
      <c r="A149" s="34" t="s">
        <v>28</v>
      </c>
      <c r="B149" s="46">
        <f t="shared" ref="B149:M149" si="50">SUM(B147:B148)</f>
        <v>37</v>
      </c>
      <c r="C149" s="46">
        <f t="shared" si="50"/>
        <v>33</v>
      </c>
      <c r="D149" s="46">
        <f t="shared" si="50"/>
        <v>0</v>
      </c>
      <c r="E149" s="46">
        <f t="shared" si="50"/>
        <v>0</v>
      </c>
      <c r="F149" s="46">
        <f t="shared" si="50"/>
        <v>0</v>
      </c>
      <c r="G149" s="18">
        <f t="shared" si="50"/>
        <v>0</v>
      </c>
      <c r="H149" s="18">
        <f t="shared" si="50"/>
        <v>0</v>
      </c>
      <c r="I149" s="46">
        <f t="shared" si="50"/>
        <v>0</v>
      </c>
      <c r="J149" s="46">
        <f t="shared" si="50"/>
        <v>0</v>
      </c>
      <c r="K149" s="47">
        <f t="shared" si="50"/>
        <v>0</v>
      </c>
      <c r="L149" s="47">
        <f t="shared" si="50"/>
        <v>0</v>
      </c>
      <c r="M149" s="47">
        <f t="shared" si="50"/>
        <v>0</v>
      </c>
      <c r="O149" s="20">
        <f t="shared" si="49"/>
        <v>70</v>
      </c>
    </row>
    <row r="150">
      <c r="O150" s="17">
        <f t="shared" si="49"/>
        <v>0</v>
      </c>
    </row>
    <row r="151">
      <c r="A151" s="89">
        <v>46017.0</v>
      </c>
      <c r="B151" s="29"/>
      <c r="C151" s="29"/>
      <c r="D151" s="29"/>
      <c r="E151" s="29"/>
      <c r="F151" s="29"/>
      <c r="G151" s="12"/>
      <c r="H151" s="12"/>
      <c r="I151" s="29"/>
      <c r="J151" s="29"/>
      <c r="K151" s="74"/>
      <c r="L151" s="74"/>
      <c r="O151" s="17">
        <f t="shared" si="49"/>
        <v>0</v>
      </c>
    </row>
    <row r="152">
      <c r="A152" s="30" t="s">
        <v>14</v>
      </c>
      <c r="B152" s="30" t="s">
        <v>29</v>
      </c>
      <c r="C152" s="30" t="s">
        <v>30</v>
      </c>
      <c r="D152" s="30" t="s">
        <v>17</v>
      </c>
      <c r="E152" s="30" t="s">
        <v>31</v>
      </c>
      <c r="F152" s="30" t="s">
        <v>19</v>
      </c>
      <c r="G152" s="13" t="s">
        <v>20</v>
      </c>
      <c r="H152" s="13" t="s">
        <v>21</v>
      </c>
      <c r="I152" s="30" t="s">
        <v>22</v>
      </c>
      <c r="J152" s="30" t="s">
        <v>23</v>
      </c>
      <c r="K152" s="44" t="s">
        <v>24</v>
      </c>
      <c r="L152" s="44" t="s">
        <v>25</v>
      </c>
      <c r="M152" s="75" t="s">
        <v>53</v>
      </c>
      <c r="O152" s="17">
        <f>sum(C152:M152)</f>
        <v>0</v>
      </c>
    </row>
    <row r="153">
      <c r="A153" s="31" t="s">
        <v>26</v>
      </c>
      <c r="B153" s="33">
        <v>26.0</v>
      </c>
      <c r="C153" s="33">
        <v>26.1</v>
      </c>
      <c r="D153" s="33">
        <v>5.0</v>
      </c>
      <c r="E153" s="33"/>
      <c r="F153" s="33"/>
      <c r="G153" s="16">
        <v>15.0</v>
      </c>
      <c r="H153" s="16">
        <v>28.0</v>
      </c>
      <c r="I153" s="33"/>
      <c r="J153" s="33"/>
      <c r="K153" s="16">
        <v>0.0</v>
      </c>
      <c r="L153" s="73"/>
      <c r="M153" s="73">
        <v>16.0</v>
      </c>
      <c r="O153" s="17">
        <f t="shared" ref="O153:O157" si="51">sum(B153:M153)</f>
        <v>116.1</v>
      </c>
    </row>
    <row r="154">
      <c r="A154" s="31" t="s">
        <v>27</v>
      </c>
      <c r="B154" s="33">
        <v>31.0</v>
      </c>
      <c r="C154" s="33">
        <v>29.0</v>
      </c>
      <c r="D154" s="33"/>
      <c r="E154" s="33"/>
      <c r="F154" s="33"/>
      <c r="G154" s="16">
        <v>10.0</v>
      </c>
      <c r="H154" s="16">
        <v>10.0</v>
      </c>
      <c r="I154" s="33"/>
      <c r="J154" s="33"/>
      <c r="K154" s="16">
        <v>0.0</v>
      </c>
      <c r="L154" s="73"/>
      <c r="M154" s="73">
        <v>0.0</v>
      </c>
      <c r="O154" s="76">
        <f t="shared" si="51"/>
        <v>80</v>
      </c>
    </row>
    <row r="155">
      <c r="A155" s="34" t="s">
        <v>28</v>
      </c>
      <c r="B155" s="46">
        <f t="shared" ref="B155:M155" si="52">SUM(B153:B154)</f>
        <v>57</v>
      </c>
      <c r="C155" s="46">
        <f t="shared" si="52"/>
        <v>55.1</v>
      </c>
      <c r="D155" s="46">
        <f t="shared" si="52"/>
        <v>5</v>
      </c>
      <c r="E155" s="46">
        <f t="shared" si="52"/>
        <v>0</v>
      </c>
      <c r="F155" s="46">
        <f t="shared" si="52"/>
        <v>0</v>
      </c>
      <c r="G155" s="18">
        <f t="shared" si="52"/>
        <v>25</v>
      </c>
      <c r="H155" s="18">
        <f t="shared" si="52"/>
        <v>38</v>
      </c>
      <c r="I155" s="46">
        <f t="shared" si="52"/>
        <v>0</v>
      </c>
      <c r="J155" s="46">
        <f t="shared" si="52"/>
        <v>0</v>
      </c>
      <c r="K155" s="47">
        <f t="shared" si="52"/>
        <v>0</v>
      </c>
      <c r="L155" s="47">
        <f t="shared" si="52"/>
        <v>0</v>
      </c>
      <c r="M155" s="47">
        <f t="shared" si="52"/>
        <v>16</v>
      </c>
      <c r="O155" s="20">
        <f t="shared" si="51"/>
        <v>196.1</v>
      </c>
    </row>
    <row r="156">
      <c r="O156" s="17">
        <f t="shared" si="51"/>
        <v>0</v>
      </c>
    </row>
    <row r="157">
      <c r="A157" s="89">
        <v>46018.0</v>
      </c>
      <c r="B157" s="29"/>
      <c r="C157" s="29"/>
      <c r="D157" s="29"/>
      <c r="E157" s="29"/>
      <c r="F157" s="29"/>
      <c r="G157" s="88"/>
      <c r="H157" s="88"/>
      <c r="I157" s="29"/>
      <c r="J157" s="29"/>
      <c r="K157" s="74"/>
      <c r="L157" s="74"/>
      <c r="O157" s="17">
        <f t="shared" si="51"/>
        <v>0</v>
      </c>
    </row>
    <row r="158">
      <c r="A158" s="30" t="s">
        <v>14</v>
      </c>
      <c r="B158" s="30" t="s">
        <v>29</v>
      </c>
      <c r="C158" s="30" t="s">
        <v>30</v>
      </c>
      <c r="D158" s="30" t="s">
        <v>17</v>
      </c>
      <c r="E158" s="30" t="s">
        <v>31</v>
      </c>
      <c r="F158" s="30" t="s">
        <v>19</v>
      </c>
      <c r="G158" s="85" t="s">
        <v>20</v>
      </c>
      <c r="H158" s="85" t="s">
        <v>21</v>
      </c>
      <c r="I158" s="30" t="s">
        <v>22</v>
      </c>
      <c r="J158" s="30" t="s">
        <v>23</v>
      </c>
      <c r="K158" s="43" t="s">
        <v>24</v>
      </c>
      <c r="L158" s="44" t="s">
        <v>25</v>
      </c>
      <c r="M158" s="75" t="s">
        <v>53</v>
      </c>
      <c r="O158" s="17">
        <f>sum(C158:M158)</f>
        <v>0</v>
      </c>
    </row>
    <row r="159">
      <c r="A159" s="31" t="s">
        <v>26</v>
      </c>
      <c r="B159" s="33">
        <v>0.0</v>
      </c>
      <c r="C159" s="33">
        <v>0.0</v>
      </c>
      <c r="D159" s="33">
        <v>10.0</v>
      </c>
      <c r="E159" s="33">
        <v>10.0</v>
      </c>
      <c r="F159" s="33">
        <v>5.0</v>
      </c>
      <c r="G159" s="86">
        <v>4.0</v>
      </c>
      <c r="H159" s="86">
        <v>5.0</v>
      </c>
      <c r="I159" s="33">
        <v>10.0</v>
      </c>
      <c r="J159" s="33">
        <v>13.0</v>
      </c>
      <c r="K159" s="16">
        <v>0.0</v>
      </c>
      <c r="L159" s="73"/>
      <c r="M159" s="73"/>
      <c r="O159" s="17">
        <f t="shared" ref="O159:O163" si="53">sum(B159:M159)</f>
        <v>57</v>
      </c>
    </row>
    <row r="160">
      <c r="A160" s="31" t="s">
        <v>27</v>
      </c>
      <c r="B160" s="33">
        <v>0.0</v>
      </c>
      <c r="C160" s="33">
        <v>0.0</v>
      </c>
      <c r="D160" s="33"/>
      <c r="E160" s="33">
        <v>20.0</v>
      </c>
      <c r="F160" s="33">
        <v>16.0</v>
      </c>
      <c r="G160" s="86">
        <v>8.0</v>
      </c>
      <c r="H160" s="86">
        <v>8.0</v>
      </c>
      <c r="I160" s="33">
        <v>8.0</v>
      </c>
      <c r="J160" s="33">
        <v>18.0</v>
      </c>
      <c r="K160" s="16">
        <v>0.0</v>
      </c>
      <c r="L160" s="73"/>
      <c r="M160" s="73"/>
      <c r="O160" s="76">
        <f t="shared" si="53"/>
        <v>78</v>
      </c>
    </row>
    <row r="161">
      <c r="A161" s="34" t="s">
        <v>28</v>
      </c>
      <c r="B161" s="46">
        <f t="shared" ref="B161:M161" si="54">SUM(B159:B160)</f>
        <v>0</v>
      </c>
      <c r="C161" s="46">
        <f t="shared" si="54"/>
        <v>0</v>
      </c>
      <c r="D161" s="46">
        <f t="shared" si="54"/>
        <v>10</v>
      </c>
      <c r="E161" s="46">
        <f t="shared" si="54"/>
        <v>30</v>
      </c>
      <c r="F161" s="46">
        <f t="shared" si="54"/>
        <v>21</v>
      </c>
      <c r="G161" s="46">
        <f t="shared" si="54"/>
        <v>12</v>
      </c>
      <c r="H161" s="46">
        <f t="shared" si="54"/>
        <v>13</v>
      </c>
      <c r="I161" s="46">
        <f t="shared" si="54"/>
        <v>18</v>
      </c>
      <c r="J161" s="46">
        <f t="shared" si="54"/>
        <v>31</v>
      </c>
      <c r="K161" s="47">
        <f t="shared" si="54"/>
        <v>0</v>
      </c>
      <c r="L161" s="47">
        <f t="shared" si="54"/>
        <v>0</v>
      </c>
      <c r="M161" s="47">
        <f t="shared" si="54"/>
        <v>0</v>
      </c>
      <c r="O161" s="20">
        <f t="shared" si="53"/>
        <v>135</v>
      </c>
    </row>
    <row r="162">
      <c r="O162" s="17">
        <f t="shared" si="53"/>
        <v>0</v>
      </c>
    </row>
    <row r="163">
      <c r="A163" s="89">
        <v>46019.0</v>
      </c>
      <c r="B163" s="29"/>
      <c r="C163" s="29"/>
      <c r="D163" s="29"/>
      <c r="E163" s="29"/>
      <c r="F163" s="29"/>
      <c r="G163" s="88"/>
      <c r="H163" s="88"/>
      <c r="I163" s="29"/>
      <c r="J163" s="29"/>
      <c r="K163" s="74"/>
      <c r="L163" s="74"/>
      <c r="O163" s="17">
        <f t="shared" si="53"/>
        <v>0</v>
      </c>
    </row>
    <row r="164">
      <c r="A164" s="30" t="s">
        <v>14</v>
      </c>
      <c r="B164" s="30" t="s">
        <v>29</v>
      </c>
      <c r="C164" s="30" t="s">
        <v>30</v>
      </c>
      <c r="D164" s="30" t="s">
        <v>17</v>
      </c>
      <c r="E164" s="30" t="s">
        <v>31</v>
      </c>
      <c r="F164" s="30" t="s">
        <v>19</v>
      </c>
      <c r="G164" s="85" t="s">
        <v>20</v>
      </c>
      <c r="H164" s="85" t="s">
        <v>21</v>
      </c>
      <c r="I164" s="30" t="s">
        <v>22</v>
      </c>
      <c r="J164" s="30" t="s">
        <v>23</v>
      </c>
      <c r="K164" s="43" t="s">
        <v>24</v>
      </c>
      <c r="L164" s="44" t="s">
        <v>25</v>
      </c>
      <c r="M164" s="75" t="s">
        <v>53</v>
      </c>
      <c r="O164" s="17">
        <f>sum(C164:M164)</f>
        <v>0</v>
      </c>
    </row>
    <row r="165">
      <c r="A165" s="31" t="s">
        <v>26</v>
      </c>
      <c r="B165" s="33">
        <v>0.0</v>
      </c>
      <c r="C165" s="33">
        <v>0.0</v>
      </c>
      <c r="D165" s="33">
        <v>6.0</v>
      </c>
      <c r="E165" s="33">
        <v>5.0</v>
      </c>
      <c r="F165" s="33">
        <v>5.0</v>
      </c>
      <c r="G165" s="86">
        <v>2.0</v>
      </c>
      <c r="H165" s="86">
        <v>6.0</v>
      </c>
      <c r="I165" s="33">
        <v>7.0</v>
      </c>
      <c r="J165" s="33">
        <v>11.0</v>
      </c>
      <c r="K165" s="16">
        <v>0.0</v>
      </c>
      <c r="L165" s="73">
        <v>0.0</v>
      </c>
      <c r="M165" s="73">
        <v>0.0</v>
      </c>
      <c r="O165" s="17">
        <f t="shared" ref="O165:O169" si="55">sum(B165:M165)</f>
        <v>42</v>
      </c>
    </row>
    <row r="166">
      <c r="A166" s="31" t="s">
        <v>27</v>
      </c>
      <c r="B166" s="33">
        <v>13.0</v>
      </c>
      <c r="C166" s="33"/>
      <c r="D166" s="33">
        <v>0.0</v>
      </c>
      <c r="E166" s="33">
        <v>9.0</v>
      </c>
      <c r="F166" s="33">
        <v>8.0</v>
      </c>
      <c r="G166" s="86">
        <v>8.0</v>
      </c>
      <c r="H166" s="86">
        <v>10.0</v>
      </c>
      <c r="I166" s="33">
        <v>10.0</v>
      </c>
      <c r="J166" s="33">
        <v>12.0</v>
      </c>
      <c r="K166" s="16">
        <v>0.0</v>
      </c>
      <c r="L166" s="73">
        <v>0.0</v>
      </c>
      <c r="M166" s="73">
        <v>0.0</v>
      </c>
      <c r="O166" s="76">
        <f t="shared" si="55"/>
        <v>70</v>
      </c>
    </row>
    <row r="167">
      <c r="A167" s="34" t="s">
        <v>28</v>
      </c>
      <c r="B167" s="46">
        <f t="shared" ref="B167:M167" si="56">SUM(B165:B166)</f>
        <v>13</v>
      </c>
      <c r="C167" s="46">
        <f t="shared" si="56"/>
        <v>0</v>
      </c>
      <c r="D167" s="46">
        <f t="shared" si="56"/>
        <v>6</v>
      </c>
      <c r="E167" s="46">
        <f t="shared" si="56"/>
        <v>14</v>
      </c>
      <c r="F167" s="46">
        <f t="shared" si="56"/>
        <v>13</v>
      </c>
      <c r="G167" s="46">
        <f t="shared" si="56"/>
        <v>10</v>
      </c>
      <c r="H167" s="46">
        <f t="shared" si="56"/>
        <v>16</v>
      </c>
      <c r="I167" s="46">
        <f t="shared" si="56"/>
        <v>17</v>
      </c>
      <c r="J167" s="46">
        <f t="shared" si="56"/>
        <v>23</v>
      </c>
      <c r="K167" s="47">
        <f t="shared" si="56"/>
        <v>0</v>
      </c>
      <c r="L167" s="47">
        <f t="shared" si="56"/>
        <v>0</v>
      </c>
      <c r="M167" s="47">
        <f t="shared" si="56"/>
        <v>0</v>
      </c>
      <c r="O167" s="20">
        <f t="shared" si="55"/>
        <v>112</v>
      </c>
    </row>
    <row r="168">
      <c r="O168" s="17">
        <f t="shared" si="55"/>
        <v>0</v>
      </c>
    </row>
    <row r="169">
      <c r="A169" s="89">
        <v>46020.0</v>
      </c>
      <c r="B169" s="29"/>
      <c r="C169" s="29"/>
      <c r="D169" s="29"/>
      <c r="E169" s="29"/>
      <c r="F169" s="29"/>
      <c r="G169" s="88"/>
      <c r="H169" s="88"/>
      <c r="I169" s="29"/>
      <c r="J169" s="29"/>
      <c r="K169" s="74"/>
      <c r="L169" s="74"/>
      <c r="O169" s="17">
        <f t="shared" si="55"/>
        <v>0</v>
      </c>
    </row>
    <row r="170">
      <c r="A170" s="30" t="s">
        <v>14</v>
      </c>
      <c r="B170" s="30" t="s">
        <v>29</v>
      </c>
      <c r="C170" s="30" t="s">
        <v>30</v>
      </c>
      <c r="D170" s="30" t="s">
        <v>17</v>
      </c>
      <c r="E170" s="30" t="s">
        <v>31</v>
      </c>
      <c r="F170" s="30" t="s">
        <v>19</v>
      </c>
      <c r="G170" s="85" t="s">
        <v>20</v>
      </c>
      <c r="H170" s="85" t="s">
        <v>21</v>
      </c>
      <c r="I170" s="30" t="s">
        <v>22</v>
      </c>
      <c r="J170" s="30" t="s">
        <v>23</v>
      </c>
      <c r="K170" s="43" t="s">
        <v>24</v>
      </c>
      <c r="L170" s="44" t="s">
        <v>25</v>
      </c>
      <c r="M170" s="75" t="s">
        <v>53</v>
      </c>
      <c r="O170" s="17">
        <f>sum(C170:M170)</f>
        <v>0</v>
      </c>
    </row>
    <row r="171">
      <c r="A171" s="31" t="s">
        <v>26</v>
      </c>
      <c r="B171" s="33"/>
      <c r="C171" s="33"/>
      <c r="D171" s="33">
        <v>5.0</v>
      </c>
      <c r="E171" s="33">
        <v>1.0</v>
      </c>
      <c r="F171" s="33">
        <v>2.0</v>
      </c>
      <c r="G171" s="86">
        <v>4.0</v>
      </c>
      <c r="H171" s="86">
        <v>5.0</v>
      </c>
      <c r="I171" s="33">
        <v>9.0</v>
      </c>
      <c r="J171" s="33">
        <v>8.0</v>
      </c>
      <c r="K171" s="16">
        <v>0.0</v>
      </c>
      <c r="L171" s="73"/>
      <c r="M171" s="73"/>
      <c r="O171" s="17">
        <f t="shared" ref="O171:O175" si="57">sum(B171:M171)</f>
        <v>34</v>
      </c>
    </row>
    <row r="172">
      <c r="A172" s="31" t="s">
        <v>27</v>
      </c>
      <c r="B172" s="33"/>
      <c r="C172" s="33"/>
      <c r="D172" s="33"/>
      <c r="E172" s="33">
        <v>2.0</v>
      </c>
      <c r="F172" s="33">
        <v>6.0</v>
      </c>
      <c r="G172" s="86">
        <v>3.0</v>
      </c>
      <c r="H172" s="86">
        <v>1.0</v>
      </c>
      <c r="I172" s="33">
        <v>8.0</v>
      </c>
      <c r="J172" s="33">
        <v>19.0</v>
      </c>
      <c r="K172" s="16">
        <v>0.0</v>
      </c>
      <c r="L172" s="73"/>
      <c r="M172" s="73"/>
      <c r="O172" s="76">
        <f t="shared" si="57"/>
        <v>39</v>
      </c>
    </row>
    <row r="173">
      <c r="A173" s="34" t="s">
        <v>28</v>
      </c>
      <c r="B173" s="46">
        <f t="shared" ref="B173:M173" si="58">SUM(B171:B172)</f>
        <v>0</v>
      </c>
      <c r="C173" s="46">
        <f t="shared" si="58"/>
        <v>0</v>
      </c>
      <c r="D173" s="46">
        <f t="shared" si="58"/>
        <v>5</v>
      </c>
      <c r="E173" s="46">
        <f t="shared" si="58"/>
        <v>3</v>
      </c>
      <c r="F173" s="46">
        <f t="shared" si="58"/>
        <v>8</v>
      </c>
      <c r="G173" s="46">
        <f t="shared" si="58"/>
        <v>7</v>
      </c>
      <c r="H173" s="46">
        <f t="shared" si="58"/>
        <v>6</v>
      </c>
      <c r="I173" s="46">
        <f t="shared" si="58"/>
        <v>17</v>
      </c>
      <c r="J173" s="46">
        <f t="shared" si="58"/>
        <v>27</v>
      </c>
      <c r="K173" s="47">
        <f t="shared" si="58"/>
        <v>0</v>
      </c>
      <c r="L173" s="47">
        <f t="shared" si="58"/>
        <v>0</v>
      </c>
      <c r="M173" s="47">
        <f t="shared" si="58"/>
        <v>0</v>
      </c>
      <c r="O173" s="20">
        <f t="shared" si="57"/>
        <v>73</v>
      </c>
    </row>
    <row r="174">
      <c r="O174" s="17">
        <f t="shared" si="57"/>
        <v>0</v>
      </c>
    </row>
    <row r="175">
      <c r="A175" s="89">
        <v>46021.0</v>
      </c>
      <c r="B175" s="29"/>
      <c r="C175" s="29"/>
      <c r="D175" s="29"/>
      <c r="E175" s="29"/>
      <c r="F175" s="29"/>
      <c r="G175" s="88"/>
      <c r="H175" s="88"/>
      <c r="I175" s="29"/>
      <c r="J175" s="29"/>
      <c r="K175" s="74"/>
      <c r="L175" s="74"/>
      <c r="O175" s="17">
        <f t="shared" si="57"/>
        <v>0</v>
      </c>
    </row>
    <row r="176">
      <c r="A176" s="30" t="s">
        <v>14</v>
      </c>
      <c r="B176" s="30" t="s">
        <v>29</v>
      </c>
      <c r="C176" s="30" t="s">
        <v>30</v>
      </c>
      <c r="D176" s="30" t="s">
        <v>17</v>
      </c>
      <c r="E176" s="30" t="s">
        <v>31</v>
      </c>
      <c r="F176" s="30" t="s">
        <v>19</v>
      </c>
      <c r="G176" s="85" t="s">
        <v>20</v>
      </c>
      <c r="H176" s="85" t="s">
        <v>21</v>
      </c>
      <c r="I176" s="30" t="s">
        <v>22</v>
      </c>
      <c r="J176" s="30" t="s">
        <v>23</v>
      </c>
      <c r="K176" s="43" t="s">
        <v>24</v>
      </c>
      <c r="L176" s="44" t="s">
        <v>25</v>
      </c>
      <c r="M176" s="75" t="s">
        <v>53</v>
      </c>
      <c r="O176" s="17">
        <f>sum(C176:M176)</f>
        <v>0</v>
      </c>
    </row>
    <row r="177">
      <c r="A177" s="31" t="s">
        <v>26</v>
      </c>
      <c r="B177" s="33"/>
      <c r="C177" s="33"/>
      <c r="D177" s="33">
        <v>10.0</v>
      </c>
      <c r="E177" s="33">
        <v>2.0</v>
      </c>
      <c r="F177" s="33">
        <v>1.0</v>
      </c>
      <c r="G177" s="86">
        <v>5.0</v>
      </c>
      <c r="H177" s="86">
        <v>6.0</v>
      </c>
      <c r="I177" s="33">
        <v>3.0</v>
      </c>
      <c r="J177" s="33">
        <v>5.0</v>
      </c>
      <c r="K177" s="16">
        <v>0.0</v>
      </c>
      <c r="L177" s="73"/>
      <c r="M177" s="73"/>
      <c r="O177" s="17">
        <f t="shared" ref="O177:O181" si="59">sum(B177:M177)</f>
        <v>32</v>
      </c>
    </row>
    <row r="178">
      <c r="A178" s="31" t="s">
        <v>27</v>
      </c>
      <c r="B178" s="33"/>
      <c r="C178" s="33"/>
      <c r="D178" s="33"/>
      <c r="E178" s="33">
        <v>3.0</v>
      </c>
      <c r="F178" s="33">
        <v>3.0</v>
      </c>
      <c r="G178" s="86">
        <v>10.0</v>
      </c>
      <c r="H178" s="86">
        <v>8.0</v>
      </c>
      <c r="I178" s="33">
        <v>4.0</v>
      </c>
      <c r="J178" s="33">
        <v>7.0</v>
      </c>
      <c r="K178" s="16">
        <v>0.0</v>
      </c>
      <c r="L178" s="73"/>
      <c r="M178" s="73"/>
      <c r="O178" s="76">
        <f t="shared" si="59"/>
        <v>35</v>
      </c>
    </row>
    <row r="179">
      <c r="A179" s="34" t="s">
        <v>28</v>
      </c>
      <c r="B179" s="46">
        <f t="shared" ref="B179:M179" si="60">SUM(B177:B178)</f>
        <v>0</v>
      </c>
      <c r="C179" s="46">
        <f t="shared" si="60"/>
        <v>0</v>
      </c>
      <c r="D179" s="46">
        <f t="shared" si="60"/>
        <v>10</v>
      </c>
      <c r="E179" s="46">
        <f t="shared" si="60"/>
        <v>5</v>
      </c>
      <c r="F179" s="46">
        <f t="shared" si="60"/>
        <v>4</v>
      </c>
      <c r="G179" s="46">
        <f t="shared" si="60"/>
        <v>15</v>
      </c>
      <c r="H179" s="46">
        <f t="shared" si="60"/>
        <v>14</v>
      </c>
      <c r="I179" s="46">
        <f t="shared" si="60"/>
        <v>7</v>
      </c>
      <c r="J179" s="46">
        <f t="shared" si="60"/>
        <v>12</v>
      </c>
      <c r="K179" s="47">
        <f t="shared" si="60"/>
        <v>0</v>
      </c>
      <c r="L179" s="47">
        <f t="shared" si="60"/>
        <v>0</v>
      </c>
      <c r="M179" s="47">
        <f t="shared" si="60"/>
        <v>0</v>
      </c>
      <c r="O179" s="20">
        <f t="shared" si="59"/>
        <v>67</v>
      </c>
    </row>
    <row r="180">
      <c r="O180" s="17">
        <f t="shared" si="59"/>
        <v>0</v>
      </c>
    </row>
    <row r="181">
      <c r="A181" s="89">
        <v>46022.0</v>
      </c>
      <c r="B181" s="29"/>
      <c r="C181" s="29"/>
      <c r="D181" s="29"/>
      <c r="E181" s="29"/>
      <c r="F181" s="29"/>
      <c r="G181" s="88"/>
      <c r="H181" s="88"/>
      <c r="I181" s="29"/>
      <c r="J181" s="29"/>
      <c r="K181" s="74"/>
      <c r="L181" s="74"/>
      <c r="O181" s="17">
        <f t="shared" si="59"/>
        <v>0</v>
      </c>
    </row>
    <row r="182">
      <c r="A182" s="30" t="s">
        <v>14</v>
      </c>
      <c r="B182" s="30" t="s">
        <v>29</v>
      </c>
      <c r="C182" s="30" t="s">
        <v>30</v>
      </c>
      <c r="D182" s="30" t="s">
        <v>17</v>
      </c>
      <c r="E182" s="30" t="s">
        <v>31</v>
      </c>
      <c r="F182" s="30" t="s">
        <v>19</v>
      </c>
      <c r="G182" s="85" t="s">
        <v>20</v>
      </c>
      <c r="H182" s="85" t="s">
        <v>21</v>
      </c>
      <c r="I182" s="30" t="s">
        <v>22</v>
      </c>
      <c r="J182" s="30" t="s">
        <v>23</v>
      </c>
      <c r="K182" s="43" t="s">
        <v>24</v>
      </c>
      <c r="L182" s="44" t="s">
        <v>25</v>
      </c>
      <c r="M182" s="75" t="s">
        <v>53</v>
      </c>
      <c r="O182" s="17">
        <f>sum(C182:M182)</f>
        <v>0</v>
      </c>
    </row>
    <row r="183">
      <c r="A183" s="31" t="s">
        <v>26</v>
      </c>
      <c r="B183" s="33"/>
      <c r="C183" s="33"/>
      <c r="D183" s="33"/>
      <c r="E183" s="33">
        <v>2.0</v>
      </c>
      <c r="F183" s="33">
        <v>3.0</v>
      </c>
      <c r="G183" s="86">
        <v>3.0</v>
      </c>
      <c r="H183" s="86">
        <v>2.0</v>
      </c>
      <c r="I183" s="33">
        <v>1.0</v>
      </c>
      <c r="J183" s="33">
        <v>3.0</v>
      </c>
      <c r="K183" s="16">
        <v>0.0</v>
      </c>
      <c r="L183" s="73"/>
      <c r="M183" s="73"/>
      <c r="O183" s="17">
        <f t="shared" ref="O183:O185" si="61">sum(B183:M183)</f>
        <v>14</v>
      </c>
    </row>
    <row r="184">
      <c r="A184" s="31" t="s">
        <v>27</v>
      </c>
      <c r="B184" s="33"/>
      <c r="C184" s="33"/>
      <c r="D184" s="33"/>
      <c r="E184" s="33">
        <v>5.0</v>
      </c>
      <c r="F184" s="33">
        <v>5.0</v>
      </c>
      <c r="G184" s="86">
        <v>4.0</v>
      </c>
      <c r="H184" s="86">
        <v>1.0</v>
      </c>
      <c r="I184" s="33">
        <v>4.0</v>
      </c>
      <c r="J184" s="33">
        <v>9.0</v>
      </c>
      <c r="K184" s="16">
        <v>0.0</v>
      </c>
      <c r="L184" s="73"/>
      <c r="M184" s="73"/>
      <c r="O184" s="76">
        <f t="shared" si="61"/>
        <v>28</v>
      </c>
    </row>
    <row r="185">
      <c r="A185" s="34" t="s">
        <v>28</v>
      </c>
      <c r="B185" s="46">
        <f t="shared" ref="B185:K185" si="62">SUM(B183:B184)</f>
        <v>0</v>
      </c>
      <c r="C185" s="46">
        <f t="shared" si="62"/>
        <v>0</v>
      </c>
      <c r="D185" s="46">
        <f t="shared" si="62"/>
        <v>0</v>
      </c>
      <c r="E185" s="46">
        <f t="shared" si="62"/>
        <v>7</v>
      </c>
      <c r="F185" s="46">
        <f t="shared" si="62"/>
        <v>8</v>
      </c>
      <c r="G185" s="46">
        <f t="shared" si="62"/>
        <v>7</v>
      </c>
      <c r="H185" s="46">
        <f t="shared" si="62"/>
        <v>3</v>
      </c>
      <c r="I185" s="46">
        <f t="shared" si="62"/>
        <v>5</v>
      </c>
      <c r="J185" s="46">
        <f t="shared" si="62"/>
        <v>12</v>
      </c>
      <c r="K185" s="47">
        <f t="shared" si="62"/>
        <v>0</v>
      </c>
      <c r="L185" s="96">
        <v>600.0</v>
      </c>
      <c r="M185" s="47">
        <f>SUM(M183:M184)</f>
        <v>0</v>
      </c>
      <c r="O185" s="20">
        <f t="shared" si="61"/>
        <v>642</v>
      </c>
    </row>
    <row r="186">
      <c r="N186" s="38" t="s">
        <v>32</v>
      </c>
      <c r="O186" s="62">
        <f t="shared" ref="O186:O187" si="63">sum(O3+O9+O15+O21+O27+O33+O39+O45+O51+O57+O63+O69+O75+O81+O87+O93+O99+O105+O111+O117+O123+O129+O135+O141+O147+O153+O159+O165+O171+O177+O183)</f>
        <v>6233.24</v>
      </c>
    </row>
    <row r="187">
      <c r="N187" s="39" t="s">
        <v>33</v>
      </c>
      <c r="O187" s="40">
        <f t="shared" si="63"/>
        <v>5510.81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2025-03-07T10:59:00Z</dcterms:created>
  <dc:creator>Shubham Mishra</dc:creator>
</cp:coreProperties>
</file>